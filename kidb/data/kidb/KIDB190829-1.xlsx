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  <sheet name="1" sheetId="5" r:id="rId2"/>
    <sheet name="1(t-1)" sheetId="10" r:id="rId3"/>
    <sheet name="2" sheetId="4" r:id="rId4"/>
    <sheet name="2(t-1)" sheetId="6" r:id="rId5"/>
    <sheet name="시평" sheetId="8" r:id="rId6"/>
    <sheet name="시가평가표" sheetId="9" r:id="rId7"/>
    <sheet name="Sheet1" sheetId="11" r:id="rId8"/>
    <sheet name="Sheet2" sheetId="12" r:id="rId9"/>
  </sheets>
  <definedNames>
    <definedName name="_xlnm.Print_Area" localSheetId="0">민평표!$A$2:$S$123</definedName>
  </definedNames>
  <calcPr calcId="125725"/>
</workbook>
</file>

<file path=xl/calcChain.xml><?xml version="1.0" encoding="utf-8"?>
<calcChain xmlns="http://schemas.openxmlformats.org/spreadsheetml/2006/main">
  <c r="Z71" i="1"/>
  <c r="K8"/>
  <c r="L8"/>
  <c r="M8"/>
  <c r="N8"/>
  <c r="O8"/>
  <c r="P8"/>
  <c r="Q8"/>
  <c r="R8"/>
  <c r="K9"/>
  <c r="L9"/>
  <c r="M9"/>
  <c r="N9"/>
  <c r="O9"/>
  <c r="P9"/>
  <c r="Q9"/>
  <c r="R9"/>
  <c r="K10"/>
  <c r="L10"/>
  <c r="M10"/>
  <c r="N10"/>
  <c r="P10"/>
  <c r="Q10"/>
  <c r="R10"/>
  <c r="K11"/>
  <c r="L11"/>
  <c r="M11"/>
  <c r="N11"/>
  <c r="O11" s="1"/>
  <c r="P11"/>
  <c r="Q11"/>
  <c r="R11"/>
  <c r="K12"/>
  <c r="L12"/>
  <c r="M12"/>
  <c r="N12"/>
  <c r="O12" s="1"/>
  <c r="P12"/>
  <c r="Q12"/>
  <c r="R12"/>
  <c r="K13"/>
  <c r="L13"/>
  <c r="M13"/>
  <c r="N13"/>
  <c r="O13" s="1"/>
  <c r="P13"/>
  <c r="Q13"/>
  <c r="R13"/>
  <c r="K14"/>
  <c r="L14"/>
  <c r="M14"/>
  <c r="N14"/>
  <c r="O14"/>
  <c r="P14"/>
  <c r="Q14"/>
  <c r="R14"/>
  <c r="K15"/>
  <c r="L15"/>
  <c r="M15"/>
  <c r="N15"/>
  <c r="O15"/>
  <c r="P15"/>
  <c r="Q15"/>
  <c r="R15"/>
  <c r="K16"/>
  <c r="L16"/>
  <c r="M16"/>
  <c r="N16"/>
  <c r="O16"/>
  <c r="P16"/>
  <c r="Q16"/>
  <c r="R16"/>
  <c r="K17"/>
  <c r="L17"/>
  <c r="M17"/>
  <c r="N17"/>
  <c r="O17"/>
  <c r="P17"/>
  <c r="Q17"/>
  <c r="R17"/>
  <c r="K18"/>
  <c r="L18"/>
  <c r="M18"/>
  <c r="N18"/>
  <c r="O18"/>
  <c r="P18"/>
  <c r="Q18"/>
  <c r="R18"/>
  <c r="K19"/>
  <c r="L19"/>
  <c r="M19"/>
  <c r="N19"/>
  <c r="O19"/>
  <c r="P19"/>
  <c r="Q19"/>
  <c r="R19"/>
  <c r="K20"/>
  <c r="L20"/>
  <c r="M20"/>
  <c r="N20"/>
  <c r="O20"/>
  <c r="P20"/>
  <c r="Q20"/>
  <c r="R20"/>
  <c r="K21"/>
  <c r="L21"/>
  <c r="M21"/>
  <c r="N21"/>
  <c r="O21"/>
  <c r="P21"/>
  <c r="Q21"/>
  <c r="R21"/>
  <c r="K22"/>
  <c r="L22"/>
  <c r="M22"/>
  <c r="N22"/>
  <c r="O22"/>
  <c r="P22"/>
  <c r="Q22"/>
  <c r="R22"/>
  <c r="K23"/>
  <c r="L23"/>
  <c r="M23"/>
  <c r="N23"/>
  <c r="O23"/>
  <c r="P23"/>
  <c r="Q23"/>
  <c r="R23"/>
  <c r="K24"/>
  <c r="L24"/>
  <c r="M24"/>
  <c r="N24"/>
  <c r="O24"/>
  <c r="P24"/>
  <c r="Q24"/>
  <c r="R24"/>
  <c r="K25"/>
  <c r="L25"/>
  <c r="M25"/>
  <c r="N25"/>
  <c r="O25"/>
  <c r="P25"/>
  <c r="Q25"/>
  <c r="R25"/>
  <c r="K26"/>
  <c r="L26"/>
  <c r="M26"/>
  <c r="N26"/>
  <c r="O26"/>
  <c r="P26"/>
  <c r="Q26"/>
  <c r="R26"/>
  <c r="K27"/>
  <c r="L27"/>
  <c r="M27"/>
  <c r="N27"/>
  <c r="O27"/>
  <c r="P27"/>
  <c r="Q27"/>
  <c r="R27"/>
  <c r="K28"/>
  <c r="L28"/>
  <c r="M28"/>
  <c r="N28"/>
  <c r="O28"/>
  <c r="P28"/>
  <c r="Q28"/>
  <c r="R28"/>
  <c r="K29"/>
  <c r="L29"/>
  <c r="M29"/>
  <c r="N29"/>
  <c r="O29"/>
  <c r="P29"/>
  <c r="Q29"/>
  <c r="R29"/>
  <c r="K30"/>
  <c r="L30"/>
  <c r="M30"/>
  <c r="N30"/>
  <c r="O30"/>
  <c r="P30"/>
  <c r="Q30"/>
  <c r="R30"/>
  <c r="K31"/>
  <c r="L31"/>
  <c r="M31"/>
  <c r="N31"/>
  <c r="O31"/>
  <c r="P31"/>
  <c r="Q31"/>
  <c r="R31"/>
  <c r="K32"/>
  <c r="L32"/>
  <c r="M32"/>
  <c r="N32"/>
  <c r="O32"/>
  <c r="P32"/>
  <c r="Q32"/>
  <c r="R32"/>
  <c r="K33"/>
  <c r="L33"/>
  <c r="M33"/>
  <c r="N33"/>
  <c r="O33"/>
  <c r="P33"/>
  <c r="Q33"/>
  <c r="R33"/>
  <c r="K34"/>
  <c r="L34"/>
  <c r="M34"/>
  <c r="N34"/>
  <c r="O34"/>
  <c r="P34"/>
  <c r="Q34"/>
  <c r="R34"/>
  <c r="K35"/>
  <c r="L35"/>
  <c r="M35"/>
  <c r="N35"/>
  <c r="O35"/>
  <c r="P35"/>
  <c r="Q35"/>
  <c r="R35"/>
  <c r="K36"/>
  <c r="L36"/>
  <c r="M36"/>
  <c r="N36"/>
  <c r="O36"/>
  <c r="P36"/>
  <c r="Q36"/>
  <c r="R36"/>
  <c r="K37"/>
  <c r="L37"/>
  <c r="M37"/>
  <c r="N37"/>
  <c r="O37"/>
  <c r="P37"/>
  <c r="Q37"/>
  <c r="R37"/>
  <c r="K38"/>
  <c r="L38"/>
  <c r="M38"/>
  <c r="N38"/>
  <c r="O38"/>
  <c r="P38"/>
  <c r="Q38"/>
  <c r="R38"/>
  <c r="K39"/>
  <c r="L39"/>
  <c r="M39"/>
  <c r="N39"/>
  <c r="O39"/>
  <c r="P39"/>
  <c r="Q39"/>
  <c r="R39"/>
  <c r="K40"/>
  <c r="L40"/>
  <c r="M40"/>
  <c r="N40"/>
  <c r="O40"/>
  <c r="P40"/>
  <c r="Q40"/>
  <c r="R40"/>
  <c r="K41"/>
  <c r="L41"/>
  <c r="M41"/>
  <c r="N41"/>
  <c r="O41"/>
  <c r="P41"/>
  <c r="Q41"/>
  <c r="R41"/>
  <c r="K42"/>
  <c r="L42"/>
  <c r="M42"/>
  <c r="N42"/>
  <c r="O42"/>
  <c r="P42"/>
  <c r="Q42"/>
  <c r="R42"/>
  <c r="K43"/>
  <c r="L43"/>
  <c r="M43"/>
  <c r="N43"/>
  <c r="O43"/>
  <c r="P43"/>
  <c r="Q43"/>
  <c r="R43"/>
  <c r="K44"/>
  <c r="L44"/>
  <c r="M44"/>
  <c r="N44"/>
  <c r="O44"/>
  <c r="P44"/>
  <c r="Q44"/>
  <c r="R44"/>
  <c r="K45"/>
  <c r="L45"/>
  <c r="M45"/>
  <c r="N45"/>
  <c r="O45"/>
  <c r="P45"/>
  <c r="Q45"/>
  <c r="R45"/>
  <c r="K46"/>
  <c r="L46"/>
  <c r="M46"/>
  <c r="N46"/>
  <c r="O46"/>
  <c r="P46"/>
  <c r="Q46"/>
  <c r="R46"/>
  <c r="K47"/>
  <c r="L47"/>
  <c r="M47"/>
  <c r="N47"/>
  <c r="O47"/>
  <c r="P47"/>
  <c r="Q47"/>
  <c r="R47"/>
  <c r="K48"/>
  <c r="L48"/>
  <c r="M48"/>
  <c r="N48"/>
  <c r="O48"/>
  <c r="P48"/>
  <c r="Q48"/>
  <c r="R48"/>
  <c r="K49"/>
  <c r="L49"/>
  <c r="M49"/>
  <c r="N49"/>
  <c r="O49"/>
  <c r="P49"/>
  <c r="Q49"/>
  <c r="R49"/>
  <c r="K7"/>
  <c r="R7"/>
  <c r="Q7"/>
  <c r="P7"/>
  <c r="N7"/>
  <c r="M7"/>
  <c r="L7"/>
  <c r="C47"/>
  <c r="D47"/>
  <c r="E47"/>
  <c r="F47"/>
  <c r="G47"/>
  <c r="C48"/>
  <c r="D48"/>
  <c r="E48"/>
  <c r="F48"/>
  <c r="G48"/>
  <c r="C49"/>
  <c r="D49"/>
  <c r="E49"/>
  <c r="F49"/>
  <c r="G49"/>
  <c r="C50"/>
  <c r="D50"/>
  <c r="E50"/>
  <c r="F50"/>
  <c r="G50"/>
  <c r="C51"/>
  <c r="D51"/>
  <c r="E51"/>
  <c r="F51"/>
  <c r="G51"/>
  <c r="C52"/>
  <c r="D52"/>
  <c r="E52"/>
  <c r="F52"/>
  <c r="G52"/>
  <c r="C53"/>
  <c r="D53"/>
  <c r="E53"/>
  <c r="F53"/>
  <c r="G53"/>
  <c r="C54"/>
  <c r="D54"/>
  <c r="E54"/>
  <c r="F54"/>
  <c r="G54"/>
  <c r="C55"/>
  <c r="D55"/>
  <c r="E55"/>
  <c r="F55"/>
  <c r="G55"/>
  <c r="C56"/>
  <c r="D56"/>
  <c r="E56"/>
  <c r="F56"/>
  <c r="G56"/>
  <c r="C57"/>
  <c r="D57"/>
  <c r="E57"/>
  <c r="F57"/>
  <c r="G57"/>
  <c r="C58"/>
  <c r="D58"/>
  <c r="E58"/>
  <c r="F58"/>
  <c r="G58"/>
  <c r="C59"/>
  <c r="D59"/>
  <c r="E59"/>
  <c r="F59"/>
  <c r="G59"/>
  <c r="C60"/>
  <c r="D60"/>
  <c r="E60"/>
  <c r="F60"/>
  <c r="G60"/>
  <c r="C61"/>
  <c r="D61"/>
  <c r="E61"/>
  <c r="F61"/>
  <c r="G61"/>
  <c r="C62"/>
  <c r="D62"/>
  <c r="E62"/>
  <c r="F62"/>
  <c r="G62"/>
  <c r="C63"/>
  <c r="D63"/>
  <c r="E63"/>
  <c r="F63"/>
  <c r="G63"/>
  <c r="C64"/>
  <c r="D64"/>
  <c r="E64"/>
  <c r="F64"/>
  <c r="G64"/>
  <c r="C65"/>
  <c r="D65"/>
  <c r="E65"/>
  <c r="F65"/>
  <c r="G65"/>
  <c r="C46"/>
  <c r="D46"/>
  <c r="E46"/>
  <c r="F46"/>
  <c r="G46"/>
  <c r="P4"/>
  <c r="C7"/>
  <c r="D7"/>
  <c r="E7"/>
  <c r="H10" s="1"/>
  <c r="Z79" s="1"/>
  <c r="F7"/>
  <c r="G7"/>
  <c r="C8"/>
  <c r="D8"/>
  <c r="E8"/>
  <c r="F8"/>
  <c r="G8"/>
  <c r="C9"/>
  <c r="D9"/>
  <c r="E9"/>
  <c r="F9"/>
  <c r="G9"/>
  <c r="C10"/>
  <c r="D10"/>
  <c r="E10"/>
  <c r="F10"/>
  <c r="G10"/>
  <c r="C11"/>
  <c r="D11"/>
  <c r="E11"/>
  <c r="F11"/>
  <c r="G11"/>
  <c r="C12"/>
  <c r="D12"/>
  <c r="E12"/>
  <c r="F12"/>
  <c r="G12"/>
  <c r="C13"/>
  <c r="D13"/>
  <c r="E13"/>
  <c r="F13"/>
  <c r="G13"/>
  <c r="C14"/>
  <c r="D14"/>
  <c r="E14"/>
  <c r="F14"/>
  <c r="G14"/>
  <c r="C15"/>
  <c r="D15"/>
  <c r="E15"/>
  <c r="F15"/>
  <c r="G15"/>
  <c r="C16"/>
  <c r="D16"/>
  <c r="E16"/>
  <c r="F16"/>
  <c r="G16"/>
  <c r="C17"/>
  <c r="D17"/>
  <c r="E17"/>
  <c r="F17"/>
  <c r="G17"/>
  <c r="C18"/>
  <c r="D18"/>
  <c r="E18"/>
  <c r="F18"/>
  <c r="G18"/>
  <c r="C19"/>
  <c r="D19"/>
  <c r="E19"/>
  <c r="F19"/>
  <c r="G19"/>
  <c r="C20"/>
  <c r="D20"/>
  <c r="E20"/>
  <c r="F20"/>
  <c r="G20"/>
  <c r="C21"/>
  <c r="D21"/>
  <c r="E21"/>
  <c r="F21"/>
  <c r="G21"/>
  <c r="C22"/>
  <c r="D22"/>
  <c r="E22"/>
  <c r="F22"/>
  <c r="G22"/>
  <c r="C23"/>
  <c r="D23"/>
  <c r="E23"/>
  <c r="F23"/>
  <c r="G23"/>
  <c r="C24"/>
  <c r="D24"/>
  <c r="E24"/>
  <c r="F24"/>
  <c r="G24"/>
  <c r="C25"/>
  <c r="D25"/>
  <c r="E25"/>
  <c r="F25"/>
  <c r="G25"/>
  <c r="C26"/>
  <c r="D26"/>
  <c r="E26"/>
  <c r="F26"/>
  <c r="G26"/>
  <c r="C27"/>
  <c r="D27"/>
  <c r="E27"/>
  <c r="F27"/>
  <c r="G27"/>
  <c r="C28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C34"/>
  <c r="D34"/>
  <c r="E34"/>
  <c r="F34"/>
  <c r="G34"/>
  <c r="C35"/>
  <c r="D35"/>
  <c r="E35"/>
  <c r="F35"/>
  <c r="G35"/>
  <c r="C36"/>
  <c r="D36"/>
  <c r="E36"/>
  <c r="F36"/>
  <c r="G36"/>
  <c r="C37"/>
  <c r="D37"/>
  <c r="E37"/>
  <c r="F37"/>
  <c r="G37"/>
  <c r="C38"/>
  <c r="D38"/>
  <c r="E38"/>
  <c r="F38"/>
  <c r="G38"/>
  <c r="C39"/>
  <c r="D39"/>
  <c r="E39"/>
  <c r="F39"/>
  <c r="G39"/>
  <c r="C40"/>
  <c r="D40"/>
  <c r="E40"/>
  <c r="F40"/>
  <c r="G40"/>
  <c r="C41"/>
  <c r="D41"/>
  <c r="E41"/>
  <c r="F41"/>
  <c r="G41"/>
  <c r="C42"/>
  <c r="D42"/>
  <c r="E42"/>
  <c r="F42"/>
  <c r="G42"/>
  <c r="C43"/>
  <c r="D43"/>
  <c r="E43"/>
  <c r="F43"/>
  <c r="G43"/>
  <c r="C44"/>
  <c r="D44"/>
  <c r="E44"/>
  <c r="F44"/>
  <c r="G44"/>
  <c r="C45"/>
  <c r="D45"/>
  <c r="E45"/>
  <c r="F45"/>
  <c r="G45"/>
  <c r="B68"/>
  <c r="C68"/>
  <c r="D68"/>
  <c r="E68"/>
  <c r="F68" s="1"/>
  <c r="G68"/>
  <c r="B69"/>
  <c r="C69"/>
  <c r="D69"/>
  <c r="E69"/>
  <c r="F69"/>
  <c r="G69"/>
  <c r="B70"/>
  <c r="C70"/>
  <c r="D70"/>
  <c r="E70"/>
  <c r="F70" s="1"/>
  <c r="G70"/>
  <c r="Z69"/>
  <c r="B71"/>
  <c r="C71"/>
  <c r="D71"/>
  <c r="E71"/>
  <c r="F71" s="1"/>
  <c r="G71"/>
  <c r="Z70"/>
  <c r="B72"/>
  <c r="C72"/>
  <c r="D72"/>
  <c r="E72"/>
  <c r="F72" s="1"/>
  <c r="G72"/>
  <c r="B73"/>
  <c r="C73"/>
  <c r="D73"/>
  <c r="E73"/>
  <c r="F73" s="1"/>
  <c r="G73"/>
  <c r="Z72"/>
  <c r="B74"/>
  <c r="C74"/>
  <c r="D74"/>
  <c r="E74"/>
  <c r="F74" s="1"/>
  <c r="G74"/>
  <c r="B75"/>
  <c r="C75"/>
  <c r="D75"/>
  <c r="E75"/>
  <c r="F75" s="1"/>
  <c r="G75"/>
  <c r="B76"/>
  <c r="C76"/>
  <c r="D76"/>
  <c r="E76"/>
  <c r="F76" s="1"/>
  <c r="G76"/>
  <c r="B77"/>
  <c r="C77"/>
  <c r="D77"/>
  <c r="E77"/>
  <c r="F77" s="1"/>
  <c r="G77"/>
  <c r="B78"/>
  <c r="C78"/>
  <c r="D78"/>
  <c r="E78"/>
  <c r="F78" s="1"/>
  <c r="G78"/>
  <c r="B79"/>
  <c r="C79"/>
  <c r="D79"/>
  <c r="E79"/>
  <c r="F79" s="1"/>
  <c r="G79"/>
  <c r="B80"/>
  <c r="C80"/>
  <c r="D80"/>
  <c r="E80"/>
  <c r="F80"/>
  <c r="G80"/>
  <c r="B81"/>
  <c r="C81"/>
  <c r="D81"/>
  <c r="E81"/>
  <c r="F81" s="1"/>
  <c r="G81"/>
  <c r="Z82"/>
  <c r="C83"/>
  <c r="D83"/>
  <c r="E83"/>
  <c r="F83" s="1"/>
  <c r="G83"/>
  <c r="Z83"/>
  <c r="C84"/>
  <c r="D84"/>
  <c r="E84"/>
  <c r="F84" s="1"/>
  <c r="G84"/>
  <c r="Z84"/>
  <c r="C85"/>
  <c r="D85"/>
  <c r="E85"/>
  <c r="F85" s="1"/>
  <c r="G85"/>
  <c r="Z85"/>
  <c r="C86"/>
  <c r="D86"/>
  <c r="E86"/>
  <c r="F86" s="1"/>
  <c r="G86"/>
  <c r="Z86"/>
  <c r="C87"/>
  <c r="D87"/>
  <c r="E87"/>
  <c r="G87"/>
  <c r="Z87"/>
  <c r="C88"/>
  <c r="D88"/>
  <c r="E88"/>
  <c r="F88" s="1"/>
  <c r="G88"/>
  <c r="Z88"/>
  <c r="C89"/>
  <c r="D89"/>
  <c r="E89"/>
  <c r="F89" s="1"/>
  <c r="G89"/>
  <c r="Z89"/>
  <c r="C90"/>
  <c r="D90"/>
  <c r="E90"/>
  <c r="F90" s="1"/>
  <c r="G90"/>
  <c r="Z90"/>
  <c r="C91"/>
  <c r="D91"/>
  <c r="E91"/>
  <c r="F91" s="1"/>
  <c r="G91"/>
  <c r="Z91"/>
  <c r="C92"/>
  <c r="D92"/>
  <c r="E92"/>
  <c r="F92" s="1"/>
  <c r="G92"/>
  <c r="C93"/>
  <c r="D93"/>
  <c r="E93"/>
  <c r="F93" s="1"/>
  <c r="G93"/>
  <c r="C94"/>
  <c r="D94"/>
  <c r="E94"/>
  <c r="F94" s="1"/>
  <c r="G94"/>
  <c r="C95"/>
  <c r="D95"/>
  <c r="E95"/>
  <c r="F95" s="1"/>
  <c r="G95"/>
  <c r="C96"/>
  <c r="D96"/>
  <c r="E96"/>
  <c r="F96" s="1"/>
  <c r="G96"/>
  <c r="C97"/>
  <c r="D97"/>
  <c r="E97"/>
  <c r="F97" s="1"/>
  <c r="G97"/>
  <c r="B21" i="12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B1"/>
  <c r="Z68" i="9"/>
  <c r="C2"/>
  <c r="D2"/>
  <c r="E2"/>
  <c r="F2"/>
  <c r="G2"/>
  <c r="H2"/>
  <c r="I2"/>
  <c r="J2"/>
  <c r="K2"/>
  <c r="L2"/>
  <c r="M2"/>
  <c r="N2"/>
  <c r="C3"/>
  <c r="D3"/>
  <c r="E3"/>
  <c r="F3"/>
  <c r="G3"/>
  <c r="H3"/>
  <c r="I3"/>
  <c r="J3"/>
  <c r="K3"/>
  <c r="L3"/>
  <c r="M3"/>
  <c r="N3"/>
  <c r="C4"/>
  <c r="D4"/>
  <c r="E4"/>
  <c r="F4"/>
  <c r="G4"/>
  <c r="H4"/>
  <c r="I4"/>
  <c r="J4"/>
  <c r="K4"/>
  <c r="L4"/>
  <c r="M4"/>
  <c r="N4"/>
  <c r="C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Z92" i="1" s="1"/>
  <c r="D10" i="9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  <c r="O7" i="1"/>
  <c r="S13"/>
  <c r="S10"/>
  <c r="Z80" s="1"/>
  <c r="S17"/>
  <c r="H91"/>
  <c r="F87"/>
  <c r="O10"/>
  <c r="H48"/>
  <c r="Z74" s="1"/>
  <c r="H18"/>
  <c r="H70"/>
  <c r="Z81" s="1"/>
  <c r="H15"/>
  <c r="Z76" s="1"/>
  <c r="H87"/>
  <c r="H32" l="1"/>
  <c r="Z78" s="1"/>
  <c r="H60"/>
  <c r="Z73" s="1"/>
  <c r="H77"/>
  <c r="H81"/>
  <c r="H26"/>
  <c r="Z75" s="1"/>
  <c r="H29"/>
  <c r="Z77" s="1"/>
</calcChain>
</file>

<file path=xl/sharedStrings.xml><?xml version="1.0" encoding="utf-8"?>
<sst xmlns="http://schemas.openxmlformats.org/spreadsheetml/2006/main" count="6909" uniqueCount="854">
  <si>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</si>
  <si>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</si>
  <si>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</si>
  <si>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</si>
  <si>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</si>
  <si>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</si>
  <si>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</si>
  <si>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복리</t>
  </si>
  <si>
    <t>할인</t>
  </si>
  <si>
    <t>상장액(백만)</t>
    <phoneticPr fontId="2" type="noConversion"/>
  </si>
  <si>
    <t>금</t>
  </si>
  <si>
    <t>토</t>
  </si>
  <si>
    <t>발행일</t>
  </si>
  <si>
    <t>일</t>
  </si>
  <si>
    <t>잔존일</t>
  </si>
  <si>
    <t>발행액(백만)</t>
  </si>
  <si>
    <t>상장잔액(백만)</t>
  </si>
  <si>
    <t>이자유형</t>
  </si>
  <si>
    <t>주기</t>
  </si>
  <si>
    <t>표면금리</t>
  </si>
  <si>
    <t>주식옵션</t>
  </si>
  <si>
    <t>중도상환</t>
  </si>
  <si>
    <t>ABS</t>
  </si>
  <si>
    <t>보증유형</t>
  </si>
  <si>
    <t>상장여부</t>
  </si>
  <si>
    <t>공사모</t>
  </si>
  <si>
    <t>순위</t>
  </si>
  <si>
    <t>시가</t>
  </si>
  <si>
    <t>C.가격</t>
  </si>
  <si>
    <t>신용그룹</t>
  </si>
  <si>
    <t>PPC100</t>
  </si>
  <si>
    <t>듀레이션</t>
  </si>
  <si>
    <t>표준코드</t>
  </si>
  <si>
    <t>이표고정</t>
  </si>
  <si>
    <t>-</t>
  </si>
  <si>
    <t>X</t>
  </si>
  <si>
    <t>무보증</t>
  </si>
  <si>
    <t>상장</t>
  </si>
  <si>
    <t>공모직접</t>
  </si>
  <si>
    <t>선</t>
  </si>
  <si>
    <t>월</t>
  </si>
  <si>
    <t>정부보증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</si>
  <si>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</si>
  <si>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</si>
  <si>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</si>
  <si>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</si>
  <si>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그룹명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</si>
  <si>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</si>
  <si>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</si>
  <si>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</si>
  <si>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</si>
  <si>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</si>
  <si>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</si>
  <si>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</si>
  <si>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</si>
  <si>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</si>
  <si>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</si>
  <si>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</si>
  <si>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</si>
  <si>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20Y</t>
  </si>
  <si>
    <t>국고채</t>
  </si>
  <si>
    <t>서울도시철도채</t>
  </si>
  <si>
    <t>지역개발채</t>
  </si>
  <si>
    <t>MBS</t>
  </si>
  <si>
    <t>특수채 AAA</t>
  </si>
  <si>
    <t>특수채 AA+</t>
  </si>
  <si>
    <t>통안채</t>
  </si>
  <si>
    <t>산금채</t>
  </si>
  <si>
    <t>중금채</t>
  </si>
  <si>
    <t>은행채 AAA</t>
  </si>
  <si>
    <t>은행채 AA+</t>
  </si>
  <si>
    <t>특수은보회사채</t>
  </si>
  <si>
    <t>시중은보회사채</t>
  </si>
  <si>
    <t>지방은보회사채</t>
  </si>
  <si>
    <t>기타보증회사채</t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</si>
  <si>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</si>
  <si>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</si>
  <si>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</si>
  <si>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</si>
  <si>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</si>
  <si>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</si>
  <si>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</si>
  <si>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</si>
  <si>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>무보증사채</t>
    <phoneticPr fontId="2" type="noConversion"/>
  </si>
  <si>
    <t>AA0</t>
    <phoneticPr fontId="2" type="noConversion"/>
  </si>
  <si>
    <t>AA-</t>
    <phoneticPr fontId="2" type="noConversion"/>
  </si>
  <si>
    <t>A+</t>
    <phoneticPr fontId="2" type="noConversion"/>
  </si>
  <si>
    <t>2.5Y</t>
    <phoneticPr fontId="2" type="noConversion"/>
  </si>
  <si>
    <t>AA+</t>
    <phoneticPr fontId="2" type="noConversion"/>
  </si>
  <si>
    <t>국주 1종</t>
    <phoneticPr fontId="2" type="noConversion"/>
  </si>
  <si>
    <t>AAA</t>
    <phoneticPr fontId="2" type="noConversion"/>
  </si>
  <si>
    <t>A0</t>
    <phoneticPr fontId="2" type="noConversion"/>
  </si>
  <si>
    <t>A-</t>
    <phoneticPr fontId="2" type="noConversion"/>
  </si>
  <si>
    <t>1.5Y</t>
    <phoneticPr fontId="2" type="noConversion"/>
  </si>
  <si>
    <t>국민주택1종</t>
  </si>
  <si>
    <t>국민주택2종</t>
  </si>
  <si>
    <t>특수채AAA</t>
  </si>
  <si>
    <t>특수채AA+</t>
  </si>
  <si>
    <t>특수채AA0</t>
  </si>
  <si>
    <t>특수채AA-</t>
  </si>
  <si>
    <t>은행채AAA</t>
  </si>
  <si>
    <t>은행채AA+</t>
  </si>
  <si>
    <t>은행채AA0</t>
  </si>
  <si>
    <t>은행채AA-</t>
  </si>
  <si>
    <t>은행채A+</t>
  </si>
  <si>
    <t>은행채A0</t>
  </si>
  <si>
    <t>은행채A-</t>
  </si>
  <si>
    <t>비은행금융채AA0</t>
  </si>
  <si>
    <t>비은행금융채AA-</t>
  </si>
  <si>
    <t>비은행금융채A+</t>
  </si>
  <si>
    <t>비은행금융채A0</t>
  </si>
  <si>
    <t>비은행금융채A-</t>
  </si>
  <si>
    <t>비은행금융채BBB+</t>
  </si>
  <si>
    <t>비은행금융채BBB0</t>
  </si>
  <si>
    <t>비은행금융채BBB-</t>
  </si>
  <si>
    <t>카드채AA0</t>
  </si>
  <si>
    <t>카드채AA-</t>
  </si>
  <si>
    <t>카드채A+</t>
  </si>
  <si>
    <t>카드채A0</t>
  </si>
  <si>
    <t>카드채A-</t>
  </si>
  <si>
    <t>카드채BBB+</t>
  </si>
  <si>
    <t>카드채BBB0</t>
  </si>
  <si>
    <t>카드채BBB-</t>
  </si>
  <si>
    <t>보증사채AAA</t>
  </si>
  <si>
    <t>보증사채AA+</t>
  </si>
  <si>
    <t>보증사채AA0</t>
  </si>
  <si>
    <t>보증사채AA-</t>
  </si>
  <si>
    <t>보증사채A+</t>
  </si>
  <si>
    <t>보증사채A0</t>
  </si>
  <si>
    <t>보증사채A-</t>
  </si>
  <si>
    <t>무보증사채AAA</t>
  </si>
  <si>
    <t>무보증사채AA+</t>
  </si>
  <si>
    <t>무보증사채AA0</t>
  </si>
  <si>
    <t>무보증사채AA-</t>
  </si>
  <si>
    <t>무보증사채A+</t>
  </si>
  <si>
    <t>무보증사채A0</t>
  </si>
  <si>
    <t>무보증사채A-</t>
  </si>
  <si>
    <t>무보증사채BBB+</t>
  </si>
  <si>
    <t>무보증사채BBB0</t>
  </si>
  <si>
    <t>무보증사채BBB-</t>
  </si>
  <si>
    <t>사모사채AAA</t>
  </si>
  <si>
    <t>사모사채AA+</t>
  </si>
  <si>
    <t>사모사채AA0</t>
  </si>
  <si>
    <t>사모사채AA-</t>
  </si>
  <si>
    <t>사모사채A+</t>
  </si>
  <si>
    <t>사모사채A0</t>
  </si>
  <si>
    <t>사모사채A-</t>
  </si>
  <si>
    <t>사모사채BBB+</t>
  </si>
  <si>
    <t>사모사채BBB0</t>
  </si>
  <si>
    <t>사모사채BBB-</t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</si>
  <si>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</si>
  <si>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</si>
  <si>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</si>
  <si>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</si>
  <si>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</si>
  <si>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</si>
  <si>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</si>
  <si>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</si>
  <si>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비은행금융채AA+</t>
  </si>
  <si>
    <t>CD</t>
    <phoneticPr fontId="2" type="noConversion"/>
  </si>
  <si>
    <t>그룹명</t>
    <phoneticPr fontId="2" type="noConversion"/>
  </si>
  <si>
    <t>15Y</t>
  </si>
  <si>
    <t>카드채AA+</t>
  </si>
  <si>
    <t>스프레드</t>
  </si>
  <si>
    <t>국고20년 - 국고10년</t>
  </si>
  <si>
    <t>국고10년 - 국고5년</t>
  </si>
  <si>
    <t>1D</t>
  </si>
  <si>
    <t>7D</t>
  </si>
  <si>
    <t>10D</t>
  </si>
  <si>
    <t>15D</t>
  </si>
  <si>
    <t>1M</t>
  </si>
  <si>
    <t>2M</t>
  </si>
  <si>
    <t>4M</t>
  </si>
  <si>
    <t>국고9-5(0550-2912)</t>
  </si>
  <si>
    <t>국고8-2(0550-2803)</t>
  </si>
  <si>
    <t xml:space="preserve">카드채
</t>
    <phoneticPr fontId="2" type="noConversion"/>
  </si>
  <si>
    <t>AA+</t>
    <phoneticPr fontId="2" type="noConversion"/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</si>
  <si>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</si>
  <si>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</si>
  <si>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</si>
  <si>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</si>
  <si>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</si>
  <si>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</si>
  <si>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</si>
  <si>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</si>
  <si>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</si>
  <si>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</si>
  <si>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</si>
  <si>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</si>
  <si>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</si>
  <si>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</si>
  <si>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</si>
  <si>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</si>
  <si>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</si>
  <si>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</si>
  <si>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</si>
  <si>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정부보증채</t>
  </si>
  <si>
    <t>30Y</t>
  </si>
  <si>
    <t>예특3년</t>
    <phoneticPr fontId="2" type="noConversion"/>
  </si>
  <si>
    <t>-국고3년</t>
    <phoneticPr fontId="2" type="noConversion"/>
  </si>
  <si>
    <t>민평3사</t>
  </si>
  <si>
    <t>신용그룹코드</t>
  </si>
  <si>
    <t>국고02000-2103(15-9)</t>
  </si>
  <si>
    <t>KR103501G638*058</t>
  </si>
  <si>
    <t>국고02000-2009(15-4)</t>
  </si>
  <si>
    <t>KR103501G596*058</t>
  </si>
  <si>
    <t>국고02000-2003(15-1)</t>
  </si>
  <si>
    <t>KR103501G539*058</t>
  </si>
  <si>
    <t>국고02750-1909(14-4)</t>
  </si>
  <si>
    <t>KR103501G497*058</t>
  </si>
  <si>
    <t>국고02250-2512(15-8)</t>
  </si>
  <si>
    <t>KR103502G5C6*058</t>
  </si>
  <si>
    <t>국고02250-2506(15-2)</t>
  </si>
  <si>
    <t>KR103501G562*058</t>
  </si>
  <si>
    <t>국고03000-2409(14-5)</t>
  </si>
  <si>
    <t>KR103502G495*058</t>
  </si>
  <si>
    <t>국고03500-2403(14-2)</t>
  </si>
  <si>
    <t>KR103502G438*058</t>
  </si>
  <si>
    <t>국고03375-2309(13-6)</t>
  </si>
  <si>
    <t>KR103502G396*058</t>
  </si>
  <si>
    <t>국고03000-2303(13-2)</t>
  </si>
  <si>
    <t>KR1035027336*058</t>
  </si>
  <si>
    <t>국고03750-2206(12-3)</t>
  </si>
  <si>
    <t>KR1035027260*058</t>
  </si>
  <si>
    <t>국고04250-2106(11-3)</t>
  </si>
  <si>
    <t>KR1035027161*058</t>
  </si>
  <si>
    <t>물가01750-2506(15-5)</t>
  </si>
  <si>
    <t>KR103503G568*058</t>
  </si>
  <si>
    <t>물가01125-2306(13-4)</t>
  </si>
  <si>
    <t>KR103502G362*058</t>
  </si>
  <si>
    <t>물가01500-2106(11-4)</t>
  </si>
  <si>
    <t>KR1035037160*058</t>
  </si>
  <si>
    <t>물가02750-2006(10-4)</t>
  </si>
  <si>
    <t>KR1035037061*058</t>
  </si>
  <si>
    <t>국고02625-3509(15-6)</t>
  </si>
  <si>
    <t>KR103502G594*058</t>
  </si>
  <si>
    <t>국고03750-3312(13-8)</t>
  </si>
  <si>
    <t>KR103502G3C1*058</t>
  </si>
  <si>
    <t>국고04000-3112(11-7)</t>
  </si>
  <si>
    <t>KR10350271C8*058</t>
  </si>
  <si>
    <t>국고04750-3012(10-7)</t>
  </si>
  <si>
    <t>KR10350270C0*058</t>
  </si>
  <si>
    <t>국고05500-2912(09-5)</t>
  </si>
  <si>
    <t>KR1035027WC3*058</t>
  </si>
  <si>
    <t>국고05500-2803(08-2)</t>
  </si>
  <si>
    <t>KR1035027V32*058</t>
  </si>
  <si>
    <t>국고05250-2703(07-3)</t>
  </si>
  <si>
    <t>KR1035037T34*058</t>
  </si>
  <si>
    <t>국고02750-4412(14-7)</t>
  </si>
  <si>
    <t>KR103502G4C9*058</t>
  </si>
  <si>
    <t>국고03000-4212(12-5)</t>
  </si>
  <si>
    <t>KR10350172C8*058</t>
  </si>
  <si>
    <t>국민주택 1종</t>
  </si>
  <si>
    <t>경기지방채</t>
  </si>
  <si>
    <t>예보상환기금채2015-1</t>
  </si>
  <si>
    <t>KR352601G5B1*058</t>
  </si>
  <si>
    <t>예보기금특별계정채권2015-1</t>
  </si>
  <si>
    <t>KR352601G519*058</t>
  </si>
  <si>
    <t>예보기금특별계정채권2015-4</t>
  </si>
  <si>
    <t>KR352601G543*058</t>
  </si>
  <si>
    <t>예보기금특별계정채권2015-3</t>
  </si>
  <si>
    <t>KR352601G535*058</t>
  </si>
  <si>
    <t>예보기금특별계정채권2015-2</t>
  </si>
  <si>
    <t>KR352601G527*058</t>
  </si>
  <si>
    <t>MBS</t>
    <phoneticPr fontId="2" type="noConversion"/>
  </si>
  <si>
    <t>국고02000-4603(16-1)</t>
  </si>
  <si>
    <t>KR103502G636*058</t>
  </si>
  <si>
    <t xml:space="preserve"> 만기일</t>
    <phoneticPr fontId="2" type="noConversion"/>
  </si>
  <si>
    <t>국고01875-2606(16-3)</t>
  </si>
  <si>
    <t>KR103502G669*058</t>
  </si>
  <si>
    <t>30년-20년</t>
    <phoneticPr fontId="2" type="noConversion"/>
  </si>
  <si>
    <t>비상장</t>
  </si>
  <si>
    <t>30년</t>
    <phoneticPr fontId="2" type="noConversion"/>
  </si>
  <si>
    <t>20년</t>
    <phoneticPr fontId="2" type="noConversion"/>
  </si>
  <si>
    <t>10년</t>
    <phoneticPr fontId="2" type="noConversion"/>
  </si>
  <si>
    <t>국고01375-2109(16-4)</t>
  </si>
  <si>
    <t>KR103501G695*058</t>
  </si>
  <si>
    <t>물가01000-2606(16-5)</t>
  </si>
  <si>
    <t>KR103503G667*058</t>
  </si>
  <si>
    <t>만기일</t>
  </si>
  <si>
    <t>국고01500-3609(16-6)</t>
  </si>
  <si>
    <t>KR103502G693*058</t>
  </si>
  <si>
    <t>국고01250-1912(16-7)</t>
  </si>
  <si>
    <t>KR103501G6C5*058</t>
  </si>
  <si>
    <t>국고01500-2612(16-8)</t>
  </si>
  <si>
    <t>KR103502G6C4*058</t>
  </si>
  <si>
    <t>국고01500-6609(16-9)</t>
  </si>
  <si>
    <t>KR103503G691*058</t>
  </si>
  <si>
    <t>국고01875-2203(16-10)</t>
  </si>
  <si>
    <t>KR103501G737*058</t>
  </si>
  <si>
    <t>예보기금특별계정채권2016-3</t>
  </si>
  <si>
    <t>KR352601G6C7*058</t>
  </si>
  <si>
    <t>국고16-7(01250-1912)</t>
    <phoneticPr fontId="2" type="noConversion"/>
  </si>
  <si>
    <t>예보기금특별계정채권2017-1</t>
  </si>
  <si>
    <t>공모간접</t>
  </si>
  <si>
    <t>KR352601G717*058</t>
  </si>
  <si>
    <t>국고02125-4703(17-1)</t>
  </si>
  <si>
    <t>KR103502G735*058</t>
  </si>
  <si>
    <t>국고01750-2006(17-2)</t>
  </si>
  <si>
    <t>KR103501G760*058</t>
  </si>
  <si>
    <t>KR103502G768*058</t>
  </si>
  <si>
    <t>국고02125-2706(17-3)</t>
  </si>
  <si>
    <t>정부보증채</t>
    <phoneticPr fontId="2" type="noConversion"/>
  </si>
  <si>
    <t>예보기금특별계정채권2017-2</t>
  </si>
  <si>
    <t>KR352601G758*058</t>
  </si>
  <si>
    <t>국고17-2(01750-2006)</t>
    <phoneticPr fontId="2" type="noConversion"/>
  </si>
  <si>
    <t>예보기금특별계정채권2017-3</t>
  </si>
  <si>
    <t>KR352601G766*058</t>
  </si>
  <si>
    <t>예특5년</t>
    <phoneticPr fontId="2" type="noConversion"/>
  </si>
  <si>
    <t>-국고5년</t>
    <phoneticPr fontId="2" type="noConversion"/>
  </si>
  <si>
    <t>KR103501G794*058</t>
  </si>
  <si>
    <t>국고02000-2209(17-4)</t>
  </si>
  <si>
    <t>통안2년 - 통안1년</t>
  </si>
  <si>
    <t>국주5년 - 국고5년</t>
    <phoneticPr fontId="2" type="noConversion"/>
  </si>
  <si>
    <t>은행1년 - 통안1년</t>
    <phoneticPr fontId="2" type="noConversion"/>
  </si>
  <si>
    <t>국고02250-3709(17-5)</t>
  </si>
  <si>
    <t>KR103502G792*058</t>
  </si>
  <si>
    <t>예특2017-4</t>
    <phoneticPr fontId="2" type="noConversion"/>
  </si>
  <si>
    <t>예보기금특별계정채권2017-4</t>
  </si>
  <si>
    <t>KR352601G782*058</t>
  </si>
  <si>
    <t>국고01750-2012(17-6)</t>
  </si>
  <si>
    <t>KR103501G7C3*058</t>
  </si>
  <si>
    <t>국고17-6(01750-2012)</t>
    <phoneticPr fontId="2" type="noConversion"/>
  </si>
  <si>
    <t>KR310101G7A2*058</t>
  </si>
  <si>
    <t>국고02375-2712(17-7)</t>
  </si>
  <si>
    <t>KR103502G7C2*058</t>
  </si>
  <si>
    <t>예보기금특별계정채권2017-5</t>
  </si>
  <si>
    <t>KR352601G7A9*058</t>
  </si>
  <si>
    <t>예보상환기금채2017-1</t>
  </si>
  <si>
    <t>KR352601G7B7*058</t>
  </si>
  <si>
    <t>통안01850-1910-02</t>
  </si>
  <si>
    <t>50Y</t>
  </si>
  <si>
    <t>통안02060-1912-02</t>
  </si>
  <si>
    <t>KR310101G7C8*058</t>
  </si>
  <si>
    <t>3년</t>
    <phoneticPr fontId="2" type="noConversion"/>
  </si>
  <si>
    <t>국고02375-2303(18-1)</t>
  </si>
  <si>
    <t>KR103501G836*058</t>
  </si>
  <si>
    <t>예보상환기금채2018-1</t>
  </si>
  <si>
    <t>KR352601G816*058</t>
  </si>
  <si>
    <t>국고17-1(02125-4703)</t>
  </si>
  <si>
    <t>국고02625-4803(18-2)</t>
  </si>
  <si>
    <t>KR103502G834*058</t>
  </si>
  <si>
    <t>통안02160-2002-02</t>
  </si>
  <si>
    <t>KR310101G826*058</t>
  </si>
  <si>
    <t>예보기금특별계정채권2018-1</t>
  </si>
  <si>
    <t>KR352601G824*058</t>
  </si>
  <si>
    <t>예특2018-1</t>
    <phoneticPr fontId="2" type="noConversion"/>
  </si>
  <si>
    <t>예보기금특별계정채권2018-2</t>
  </si>
  <si>
    <t>KR352602G822*058</t>
  </si>
  <si>
    <t>전일민평(국고/통안/예보/국주/지역채)</t>
    <phoneticPr fontId="2" type="noConversion"/>
  </si>
  <si>
    <t>국고02250-2106(18-3)</t>
  </si>
  <si>
    <t>KR103501G869*058</t>
  </si>
  <si>
    <t>통안02120-2004-02</t>
  </si>
  <si>
    <t>KR310101G842*058</t>
  </si>
  <si>
    <t>국고02625-2806(18-4)</t>
  </si>
  <si>
    <t>KR103502G867*058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</si>
  <si>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</si>
  <si>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</si>
  <si>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</si>
  <si>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</si>
  <si>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물가01750-2806(18-5)</t>
  </si>
  <si>
    <t>KR103503G865*058</t>
  </si>
  <si>
    <t>예보기금특별계정채권2018-3</t>
  </si>
  <si>
    <t>KR352601G857*058</t>
  </si>
  <si>
    <t>통안02140-2006-02</t>
  </si>
  <si>
    <t>KR310101G867*058</t>
  </si>
  <si>
    <t>국고18-3(02250-2106)</t>
    <phoneticPr fontId="2" type="noConversion"/>
  </si>
  <si>
    <t>국고02250-2309(18-6)</t>
  </si>
  <si>
    <t>KR103501G893*058</t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</si>
  <si>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</si>
  <si>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</si>
  <si>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</si>
  <si>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</si>
  <si>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</si>
  <si>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</si>
  <si>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</si>
  <si>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</si>
  <si>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</si>
  <si>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KR310101G883*058</t>
  </si>
  <si>
    <t>예보상환기금채2018-2</t>
  </si>
  <si>
    <t>KR352601G881*058</t>
  </si>
  <si>
    <t>KR103502G891*058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</si>
  <si>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</si>
  <si>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</si>
  <si>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</si>
  <si>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</si>
  <si>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</si>
  <si>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</si>
  <si>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</si>
  <si>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국고02375-3809(18-7)</t>
  </si>
  <si>
    <t>예보기금특별계정채권2018-4</t>
  </si>
  <si>
    <t>KR352602G889*058</t>
  </si>
  <si>
    <t>무보증사채BB+</t>
  </si>
  <si>
    <t>무보증사채BB0</t>
  </si>
  <si>
    <t>무보증사채BB-</t>
  </si>
  <si>
    <t>국고05750-2603(06-1)</t>
  </si>
  <si>
    <t>KR1035017S39*058</t>
  </si>
  <si>
    <t>통안01800-1909-01</t>
  </si>
  <si>
    <t>KR310101G891*058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</si>
  <si>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</si>
  <si>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</si>
  <si>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</si>
  <si>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</si>
  <si>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</si>
  <si>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</si>
  <si>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</si>
  <si>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</si>
  <si>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</si>
  <si>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</si>
  <si>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</si>
  <si>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</si>
  <si>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</si>
  <si>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</si>
  <si>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</si>
  <si>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</si>
  <si>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</si>
  <si>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</si>
  <si>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</si>
  <si>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</si>
  <si>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</si>
  <si>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</si>
  <si>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국고02000-6809(18-8)</t>
  </si>
  <si>
    <t>KR103503G899*058</t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</si>
  <si>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</si>
  <si>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</si>
  <si>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</si>
  <si>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</si>
  <si>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</si>
  <si>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</si>
  <si>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</si>
  <si>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국고02000-2112(18-9)</t>
  </si>
  <si>
    <t>KR103501G8C1*058</t>
  </si>
  <si>
    <t>통안02050-2010-02</t>
  </si>
  <si>
    <t>KR310101G8A0*058</t>
  </si>
  <si>
    <t>KR103502G8C0*058</t>
  </si>
  <si>
    <t>국고02375-2812(18-10)</t>
  </si>
  <si>
    <t>국고05000-2006(10-3)</t>
  </si>
  <si>
    <t>KR1035027062*058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</si>
  <si>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</si>
  <si>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</si>
  <si>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</si>
  <si>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</si>
  <si>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</si>
  <si>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</si>
  <si>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</si>
  <si>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</si>
  <si>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</si>
  <si>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</si>
  <si>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</si>
  <si>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</si>
  <si>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</si>
  <si>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</si>
  <si>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KR310101G8B8*058</t>
  </si>
  <si>
    <t>통안01930-2012-02</t>
  </si>
  <si>
    <t>KR310101G8C6*058</t>
  </si>
  <si>
    <t>국고18-4(02625-2806)</t>
    <phoneticPr fontId="2" type="noConversion"/>
  </si>
  <si>
    <t>국고01875-2403(19-1)</t>
  </si>
  <si>
    <t>KR103501G935*058</t>
  </si>
  <si>
    <t>예보기금특별계정채권2019-1</t>
  </si>
  <si>
    <t>KR352601G915*058</t>
  </si>
  <si>
    <t>통안01820-2001-01</t>
  </si>
  <si>
    <t>KR310101G917*058</t>
  </si>
  <si>
    <t>국고02000-4903(19-2)</t>
  </si>
  <si>
    <t>KR103502G933*058</t>
  </si>
  <si>
    <t>통안01810-2102-02</t>
  </si>
  <si>
    <t>KR310101G925*058</t>
  </si>
  <si>
    <t>통안DC019-0903-1820</t>
  </si>
  <si>
    <t>KR310101A936*058</t>
  </si>
  <si>
    <t>국고18-2(02625-4803)</t>
    <phoneticPr fontId="2" type="noConversion"/>
  </si>
  <si>
    <t>통안01830-2003-01</t>
  </si>
  <si>
    <t>KR310101G933*058</t>
  </si>
  <si>
    <t>통안DC019-0917-1820</t>
  </si>
  <si>
    <t>KR310104A930*058</t>
  </si>
  <si>
    <t>국고01625-2206(19-3)</t>
  </si>
  <si>
    <t>KR103501G968*058</t>
  </si>
  <si>
    <t>통안01740-2104-02</t>
  </si>
  <si>
    <t>KR310101G941*058</t>
  </si>
  <si>
    <t>통안DC019-1001-1820</t>
  </si>
  <si>
    <t>KR310101A944*058</t>
  </si>
  <si>
    <t>국고01875-2906(19-4)</t>
  </si>
  <si>
    <t>KR103502G966*058</t>
  </si>
  <si>
    <t>통안DC019-1015-1820</t>
  </si>
  <si>
    <t>KR310104A948*058</t>
  </si>
  <si>
    <t>국민주택1종19-05</t>
  </si>
  <si>
    <t>KR101501D959*058</t>
  </si>
  <si>
    <t>통안DC019-1105-1820</t>
  </si>
  <si>
    <t>KR310101A951*058</t>
  </si>
  <si>
    <t>통안01715-2005-01</t>
  </si>
  <si>
    <t>KR310101G958*058</t>
  </si>
  <si>
    <t>통안DC019-1119-1820</t>
  </si>
  <si>
    <t>KR310104A955*058</t>
  </si>
  <si>
    <t>통안DC019-0827-0910</t>
  </si>
  <si>
    <t>KR310106A950*058</t>
  </si>
  <si>
    <t>국민주택1종19-06</t>
  </si>
  <si>
    <t>KR101501D967*058</t>
  </si>
  <si>
    <t>경기지역개발19-06</t>
  </si>
  <si>
    <t>KR2044012962*058</t>
  </si>
  <si>
    <t>통안DC019-1203-1820</t>
  </si>
  <si>
    <t>KR310101A969*058</t>
  </si>
  <si>
    <t>통안DC019-0903-0910</t>
  </si>
  <si>
    <t>KR310102A967*058</t>
  </si>
  <si>
    <t>국민주택1종19-06-2</t>
  </si>
  <si>
    <t>KR101502D965*058</t>
  </si>
  <si>
    <t>통안01585-2106-02</t>
  </si>
  <si>
    <t>KR310101G966*058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</si>
  <si>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</si>
  <si>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</si>
  <si>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</si>
  <si>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</si>
  <si>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</si>
  <si>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KR310103A965*058</t>
  </si>
  <si>
    <t>예보기금특별계정채권2019-2</t>
  </si>
  <si>
    <t>KR352601G931*058</t>
  </si>
  <si>
    <t>예특2019-1</t>
    <phoneticPr fontId="2" type="noConversion"/>
  </si>
  <si>
    <t>예특2019-2</t>
    <phoneticPr fontId="2" type="noConversion"/>
  </si>
  <si>
    <t>통안DC019-1217-1820</t>
  </si>
  <si>
    <t>KR310104A963*058</t>
  </si>
  <si>
    <t>통안DC019-0917-0910</t>
  </si>
  <si>
    <t>KR310105A960*058</t>
  </si>
  <si>
    <t>통안DC019-0924-0910</t>
  </si>
  <si>
    <t>KR310106A968*058</t>
  </si>
  <si>
    <t>국민주택1종19-07</t>
  </si>
  <si>
    <t>KR101501D975*058</t>
  </si>
  <si>
    <t>경기지역개발19-07</t>
  </si>
  <si>
    <t>KR2044012970*058</t>
  </si>
  <si>
    <t>통안DC019-1231-1820</t>
  </si>
  <si>
    <t>KR310101A977*058</t>
  </si>
  <si>
    <t>통안DC019-1001-0910</t>
  </si>
  <si>
    <t>KR310102A975*058</t>
  </si>
  <si>
    <t>국고01375-2409(19-5)</t>
  </si>
  <si>
    <t>KR103501G992*058</t>
  </si>
  <si>
    <t>통안01480-2007-01</t>
  </si>
  <si>
    <t>KR310101G974*058</t>
  </si>
  <si>
    <t>통안DC019-1008-0910</t>
  </si>
  <si>
    <t>KR310103A973*058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</si>
  <si>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</si>
  <si>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</si>
  <si>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</si>
  <si>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</si>
  <si>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</si>
  <si>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</si>
  <si>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KR310104A971*058</t>
  </si>
  <si>
    <t>통안DC019-1015-0910</t>
  </si>
  <si>
    <t>KR310105A978*058</t>
  </si>
  <si>
    <t>통안DC019-1022-0910</t>
  </si>
  <si>
    <t>KR310106A976*058</t>
  </si>
  <si>
    <t>국민주택1종19-07-2</t>
  </si>
  <si>
    <t>KR101502D973*058</t>
  </si>
  <si>
    <t>0000-00-01</t>
  </si>
  <si>
    <t>통안DC019-1029-0910</t>
  </si>
  <si>
    <t>KR310107A974*058</t>
  </si>
  <si>
    <t>국민주택1종19-08</t>
  </si>
  <si>
    <t>KR101501D983*058</t>
  </si>
  <si>
    <t>경기지역개발19-08</t>
  </si>
  <si>
    <t>KR2044012988*058</t>
  </si>
  <si>
    <t>통안DC020-0204-1820</t>
  </si>
  <si>
    <t>KR310101A985*058</t>
  </si>
  <si>
    <t>통안DC019-1105-0910</t>
  </si>
  <si>
    <t>KR310102A983*058</t>
  </si>
  <si>
    <t>통안01180-2108-02</t>
  </si>
  <si>
    <t>KR310101G982*058</t>
  </si>
  <si>
    <t>국민주택1종19-08-2</t>
  </si>
  <si>
    <t>KR101502D981*058</t>
  </si>
  <si>
    <t>0000-00-29</t>
  </si>
  <si>
    <t>0000-03-21</t>
  </si>
  <si>
    <t>0000-02-24</t>
  </si>
  <si>
    <t>0000-02-17</t>
  </si>
  <si>
    <t>0000-02-10</t>
  </si>
  <si>
    <t>0000-02-03</t>
  </si>
  <si>
    <t>0000-01-26</t>
  </si>
  <si>
    <t>0000-01-19</t>
  </si>
  <si>
    <t>0000-01-12</t>
  </si>
  <si>
    <t>0000-01-05</t>
  </si>
  <si>
    <t>0000-00-22</t>
  </si>
  <si>
    <t>0000-00-15</t>
  </si>
  <si>
    <t>0000-00-08</t>
  </si>
  <si>
    <t>통안DC019-1112-0910</t>
  </si>
  <si>
    <t>KR310103A981*058</t>
  </si>
  <si>
    <t>0000-03-14</t>
  </si>
  <si>
    <t>국고01125-3909(19-6)</t>
  </si>
  <si>
    <t>KR103502G990*058</t>
  </si>
  <si>
    <t>통안DC020-0218-1820</t>
  </si>
  <si>
    <t>KR310104A989*058</t>
  </si>
  <si>
    <t>통안DC019-1119-0910</t>
  </si>
  <si>
    <t>KR310105A986*058</t>
  </si>
  <si>
    <t>국고19-6(01125-3909)</t>
    <phoneticPr fontId="2" type="noConversion"/>
  </si>
  <si>
    <t>0000-02-14</t>
  </si>
  <si>
    <t>0002-09-15</t>
  </si>
  <si>
    <t>0002-03-14</t>
  </si>
  <si>
    <t>0001-09-15</t>
  </si>
  <si>
    <t>0001-03-14</t>
  </si>
  <si>
    <t>0000-09-15</t>
  </si>
  <si>
    <t>0005-00-15</t>
  </si>
  <si>
    <t>0004-06-13</t>
  </si>
  <si>
    <t>0004-00-15</t>
  </si>
  <si>
    <t>0003-06-12</t>
  </si>
  <si>
    <t>0003-00-15</t>
  </si>
  <si>
    <t>0002-06-12</t>
  </si>
  <si>
    <t>0002-00-15</t>
  </si>
  <si>
    <t>0001-06-12</t>
  </si>
  <si>
    <t>0001-00-15</t>
  </si>
  <si>
    <t>0000-06-13</t>
  </si>
  <si>
    <t>0009-09-15</t>
  </si>
  <si>
    <t>0009-03-14</t>
  </si>
  <si>
    <t>0008-09-15</t>
  </si>
  <si>
    <t>0008-03-14</t>
  </si>
  <si>
    <t>0007-09-15</t>
  </si>
  <si>
    <t>0007-03-14</t>
  </si>
  <si>
    <t>0006-09-15</t>
  </si>
  <si>
    <t>0006-03-14</t>
  </si>
  <si>
    <t>0005-09-15</t>
  </si>
  <si>
    <t>0003-09-15</t>
  </si>
  <si>
    <t>0020-00-15</t>
  </si>
  <si>
    <t>0019-00-15</t>
  </si>
  <si>
    <t>0018-00-15</t>
  </si>
  <si>
    <t>0017-00-15</t>
  </si>
  <si>
    <t>0016-00-15</t>
  </si>
  <si>
    <t>0014-03-14</t>
  </si>
  <si>
    <t>0012-03-14</t>
  </si>
  <si>
    <t>0011-03-14</t>
  </si>
  <si>
    <t>0010-03-14</t>
  </si>
  <si>
    <t>0008-06-13</t>
  </si>
  <si>
    <t>0007-06-12</t>
  </si>
  <si>
    <t>0006-06-12</t>
  </si>
  <si>
    <t>0029-06-12</t>
  </si>
  <si>
    <t>0028-06-13</t>
  </si>
  <si>
    <t>0027-06-12</t>
  </si>
  <si>
    <t>0026-06-12</t>
  </si>
  <si>
    <t>0025-03-14</t>
  </si>
  <si>
    <t>0023-03-14</t>
  </si>
  <si>
    <t>0049-00-15</t>
  </si>
  <si>
    <t>0047-00-15</t>
  </si>
  <si>
    <t>0001-11-07</t>
  </si>
  <si>
    <t>0001-09-07</t>
  </si>
  <si>
    <t>0001-07-07</t>
  </si>
  <si>
    <t>0001-05-07</t>
  </si>
  <si>
    <t>0001-03-06</t>
  </si>
  <si>
    <t>0001-01-09</t>
  </si>
  <si>
    <t>0000-11-07</t>
  </si>
  <si>
    <t>0000-10-13</t>
  </si>
  <si>
    <t>0000-09-07</t>
  </si>
  <si>
    <t>0000-08-13</t>
  </si>
  <si>
    <t>0000-07-07</t>
  </si>
  <si>
    <t>0000-06-12</t>
  </si>
  <si>
    <t>0000-05-23</t>
  </si>
  <si>
    <t>0000-05-09</t>
  </si>
  <si>
    <t>0000-05-07</t>
  </si>
  <si>
    <t>0000-04-19</t>
  </si>
  <si>
    <t>0000-04-14</t>
  </si>
  <si>
    <t>0000-04-05</t>
  </si>
  <si>
    <t>0000-03-07</t>
  </si>
  <si>
    <t>0000-03-06</t>
  </si>
  <si>
    <t>0000-01-06</t>
  </si>
  <si>
    <t>0000-00-14</t>
  </si>
  <si>
    <t>0001-05-05</t>
  </si>
  <si>
    <t>0000-03-12</t>
  </si>
  <si>
    <t>0001-05-04</t>
  </si>
  <si>
    <t>0000-03-11</t>
  </si>
  <si>
    <t>0000-06-11</t>
  </si>
  <si>
    <t>0000-05-06</t>
  </si>
  <si>
    <t>0000-03-05</t>
  </si>
  <si>
    <t>통안DC019-1126-0910</t>
  </si>
  <si>
    <t>KR310106A984*058</t>
  </si>
  <si>
    <t>0000-01-04</t>
  </si>
  <si>
    <t>0000-00-13</t>
  </si>
  <si>
    <t>0005-00-03</t>
  </si>
  <si>
    <t>0004-11-03</t>
  </si>
  <si>
    <t>0004-10-02</t>
  </si>
  <si>
    <t>0004-09-03</t>
  </si>
  <si>
    <t>0001-11-13</t>
  </si>
  <si>
    <t>0001-05-03</t>
  </si>
  <si>
    <t>0001-02-04</t>
  </si>
  <si>
    <t>0001-02-28</t>
  </si>
  <si>
    <t>0004-06-19</t>
  </si>
  <si>
    <t>0004-04-17</t>
  </si>
  <si>
    <t>0003-05-17</t>
  </si>
  <si>
    <t>0002-11-26</t>
  </si>
  <si>
    <t>0002-09-17</t>
  </si>
  <si>
    <t>0002-04-24</t>
  </si>
  <si>
    <t>0001-11-25</t>
  </si>
  <si>
    <t>0001-09-00</t>
  </si>
  <si>
    <t>0001-08-19</t>
  </si>
  <si>
    <t>0001-05-24</t>
  </si>
  <si>
    <t>0001-04-21</t>
  </si>
  <si>
    <t>0001-01-20</t>
  </si>
  <si>
    <t>0000-08-01</t>
  </si>
  <si>
    <t>0000-06-19</t>
  </si>
  <si>
    <t>0000-03-10</t>
  </si>
  <si>
    <t>0002-09-13</t>
  </si>
  <si>
    <t>0002-03-12</t>
  </si>
  <si>
    <t>0001-09-13</t>
  </si>
  <si>
    <t>0001-03-12</t>
  </si>
  <si>
    <t>0000-09-13</t>
  </si>
  <si>
    <t>0005-00-13</t>
  </si>
  <si>
    <t>0004-06-11</t>
  </si>
  <si>
    <t>0004-00-13</t>
  </si>
  <si>
    <t>0003-06-10</t>
  </si>
  <si>
    <t>0003-00-13</t>
  </si>
  <si>
    <t>0002-06-10</t>
  </si>
  <si>
    <t>0002-00-13</t>
  </si>
  <si>
    <t>0001-06-10</t>
  </si>
  <si>
    <t>0001-00-13</t>
  </si>
  <si>
    <t>0009-09-13</t>
  </si>
  <si>
    <t>0009-03-12</t>
  </si>
  <si>
    <t>0008-09-13</t>
  </si>
  <si>
    <t>0008-03-12</t>
  </si>
  <si>
    <t>0007-09-13</t>
  </si>
  <si>
    <t>0007-03-12</t>
  </si>
  <si>
    <t>0006-09-13</t>
  </si>
  <si>
    <t>0006-03-12</t>
  </si>
  <si>
    <t>0005-09-13</t>
  </si>
  <si>
    <t>0003-09-13</t>
  </si>
  <si>
    <t>0020-00-13</t>
  </si>
  <si>
    <t>0019-00-13</t>
  </si>
  <si>
    <t>0018-00-13</t>
  </si>
  <si>
    <t>0017-00-13</t>
  </si>
  <si>
    <t>0016-00-13</t>
  </si>
  <si>
    <t>0014-03-12</t>
  </si>
  <si>
    <t>0012-03-12</t>
  </si>
  <si>
    <t>0011-03-12</t>
  </si>
  <si>
    <t>0010-03-12</t>
  </si>
  <si>
    <t>0008-06-11</t>
  </si>
  <si>
    <t>0007-06-10</t>
  </si>
  <si>
    <t>0006-06-10</t>
  </si>
  <si>
    <t>0029-06-10</t>
  </si>
  <si>
    <t>0028-06-11</t>
  </si>
  <si>
    <t>0027-06-10</t>
  </si>
  <si>
    <t>0026-06-10</t>
  </si>
  <si>
    <t>0025-03-12</t>
  </si>
  <si>
    <t>0023-03-12</t>
  </si>
  <si>
    <t>0049-00-13</t>
  </si>
  <si>
    <t>0047-00-13</t>
  </si>
  <si>
    <t>0001-11-05</t>
  </si>
  <si>
    <t>0001-09-05</t>
  </si>
  <si>
    <t>0001-07-05</t>
  </si>
  <si>
    <t>0001-03-04</t>
  </si>
  <si>
    <t>0001-01-07</t>
  </si>
  <si>
    <t>0000-11-05</t>
  </si>
  <si>
    <t>0000-10-11</t>
  </si>
  <si>
    <t>0000-09-05</t>
  </si>
  <si>
    <t>0000-08-11</t>
  </si>
  <si>
    <t>0000-07-05</t>
  </si>
  <si>
    <t>0000-06-10</t>
  </si>
  <si>
    <t>0000-05-21</t>
  </si>
  <si>
    <t>0000-05-05</t>
  </si>
  <si>
    <t>0000-04-17</t>
  </si>
  <si>
    <t>0000-04-12</t>
  </si>
  <si>
    <t>0000-04-03</t>
  </si>
  <si>
    <t>0000-03-19</t>
  </si>
  <si>
    <t>0000-03-04</t>
  </si>
  <si>
    <t>0000-02-29</t>
  </si>
  <si>
    <t>0000-02-22</t>
  </si>
  <si>
    <t>0000-02-15</t>
  </si>
  <si>
    <t>0000-02-12</t>
  </si>
  <si>
    <t>0000-02-08</t>
  </si>
  <si>
    <t>0000-02-01</t>
  </si>
  <si>
    <t>0000-01-24</t>
  </si>
  <si>
    <t>0000-01-17</t>
  </si>
  <si>
    <t>0000-01-10</t>
  </si>
  <si>
    <t>0000-01-03</t>
  </si>
  <si>
    <t>0000-00-27</t>
  </si>
  <si>
    <t>0000-00-20</t>
  </si>
  <si>
    <t>0000-00-12</t>
  </si>
  <si>
    <t>0000-00-06</t>
  </si>
  <si>
    <t>0005-00-02</t>
  </si>
  <si>
    <t>0004-11-02</t>
  </si>
  <si>
    <t>0004-10-01</t>
  </si>
  <si>
    <t>0004-09-02</t>
  </si>
  <si>
    <t>0001-11-12</t>
  </si>
  <si>
    <t>0001-05-02</t>
  </si>
  <si>
    <t>0001-02-03</t>
  </si>
  <si>
    <t>0001-02-27</t>
  </si>
  <si>
    <t>0004-06-18</t>
  </si>
  <si>
    <t>0004-04-16</t>
  </si>
  <si>
    <t>0003-05-16</t>
  </si>
  <si>
    <t>0002-11-25</t>
  </si>
  <si>
    <t>0002-09-16</t>
  </si>
  <si>
    <t>0002-04-23</t>
  </si>
  <si>
    <t>0001-11-24</t>
  </si>
  <si>
    <t>0001-08-29</t>
  </si>
  <si>
    <t>0001-08-18</t>
  </si>
  <si>
    <t>0001-05-23</t>
  </si>
  <si>
    <t>0001-04-20</t>
  </si>
  <si>
    <t>0001-01-19</t>
  </si>
  <si>
    <t>0000-08-00</t>
  </si>
  <si>
    <t>0000-06-18</t>
  </si>
  <si>
    <t>0000-03-09</t>
  </si>
  <si>
    <t>0002-09-12</t>
  </si>
  <si>
    <t>0002-03-11</t>
  </si>
  <si>
    <t>0001-09-12</t>
  </si>
  <si>
    <t>0001-03-11</t>
  </si>
  <si>
    <t>0000-09-12</t>
  </si>
  <si>
    <t>0005-00-12</t>
  </si>
  <si>
    <t>0004-06-10</t>
  </si>
  <si>
    <t>0004-00-12</t>
  </si>
  <si>
    <t>0003-00-12</t>
  </si>
  <si>
    <t>0002-00-12</t>
  </si>
  <si>
    <t>0001-00-12</t>
  </si>
  <si>
    <t>0009-09-12</t>
  </si>
  <si>
    <t>0009-03-11</t>
  </si>
  <si>
    <t>0008-09-12</t>
  </si>
  <si>
    <t>0008-03-11</t>
  </si>
  <si>
    <t>0007-09-12</t>
  </si>
  <si>
    <t>0007-03-11</t>
  </si>
  <si>
    <t>0006-09-12</t>
  </si>
  <si>
    <t>0006-03-11</t>
  </si>
  <si>
    <t>0005-09-12</t>
  </si>
  <si>
    <t>0003-09-12</t>
  </si>
  <si>
    <t>0020-00-12</t>
  </si>
  <si>
    <t>0019-00-12</t>
  </si>
  <si>
    <t>0018-00-12</t>
  </si>
  <si>
    <t>0017-00-12</t>
  </si>
  <si>
    <t>0016-00-12</t>
  </si>
  <si>
    <t>0014-03-11</t>
  </si>
  <si>
    <t>0012-03-11</t>
  </si>
  <si>
    <t>0011-03-11</t>
  </si>
  <si>
    <t>0010-03-11</t>
  </si>
  <si>
    <t>0008-06-10</t>
  </si>
  <si>
    <t>0028-06-10</t>
  </si>
  <si>
    <t>0025-03-11</t>
  </si>
  <si>
    <t>0023-03-11</t>
  </si>
  <si>
    <t>0049-00-12</t>
  </si>
  <si>
    <t>0047-00-12</t>
  </si>
  <si>
    <t>0001-11-04</t>
  </si>
  <si>
    <t>0001-09-04</t>
  </si>
  <si>
    <t>0001-07-04</t>
  </si>
  <si>
    <t>0001-03-03</t>
  </si>
  <si>
    <t>0001-01-06</t>
  </si>
  <si>
    <t>0000-11-04</t>
  </si>
  <si>
    <t>0000-10-10</t>
  </si>
  <si>
    <t>0000-09-04</t>
  </si>
  <si>
    <t>0000-08-10</t>
  </si>
  <si>
    <t>0000-07-04</t>
  </si>
  <si>
    <t>0000-06-09</t>
  </si>
  <si>
    <t>0000-05-20</t>
  </si>
  <si>
    <t>0000-05-04</t>
  </si>
  <si>
    <t>0000-04-16</t>
  </si>
  <si>
    <t>0000-04-11</t>
  </si>
  <si>
    <t>0000-04-02</t>
  </si>
  <si>
    <t>0000-03-18</t>
  </si>
  <si>
    <t>0000-03-03</t>
  </si>
  <si>
    <t>0000-02-28</t>
  </si>
  <si>
    <t>0000-02-21</t>
  </si>
  <si>
    <t>0000-02-11</t>
  </si>
  <si>
    <t>0000-02-07</t>
  </si>
  <si>
    <t>0000-02-00</t>
  </si>
  <si>
    <t>0000-01-23</t>
  </si>
  <si>
    <t>0000-01-16</t>
  </si>
  <si>
    <t>0000-01-09</t>
  </si>
  <si>
    <t>0000-01-02</t>
  </si>
  <si>
    <t>0000-00-26</t>
  </si>
  <si>
    <t>0000-00-19</t>
  </si>
  <si>
    <t>0000-00-11</t>
  </si>
  <si>
    <t>0000-00-05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</si>
</sst>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5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5" xfId="0" applyNumberFormat="1" applyFont="1" applyFill="1" applyBorder="1" applyAlignment="1">
      <alignment horizontal="center" vertical="center"/>
    </xf>
    <xf numFmtId="17" fontId="10" fillId="0" borderId="6" xfId="0" applyNumberFormat="1" applyFont="1" applyFill="1" applyBorder="1" applyAlignment="1">
      <alignment horizontal="center" vertical="center"/>
    </xf>
    <xf numFmtId="17" fontId="10" fillId="0" borderId="7" xfId="0" applyNumberFormat="1" applyFont="1" applyFill="1" applyBorder="1" applyAlignment="1">
      <alignment horizontal="center" vertical="center"/>
    </xf>
    <xf numFmtId="180" fontId="10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10" fillId="0" borderId="6" xfId="0" applyNumberFormat="1" applyFont="1" applyFill="1" applyBorder="1" applyAlignment="1">
      <alignment horizontal="center" vertical="center"/>
    </xf>
    <xf numFmtId="181" fontId="10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10" fillId="0" borderId="9" xfId="0" quotePrefix="1" applyNumberFormat="1" applyFont="1" applyFill="1" applyBorder="1" applyAlignment="1">
      <alignment horizontal="center" vertical="center"/>
    </xf>
    <xf numFmtId="17" fontId="10" fillId="0" borderId="10" xfId="0" applyNumberFormat="1" applyFont="1" applyFill="1" applyBorder="1" applyAlignment="1">
      <alignment horizontal="center" vertical="center"/>
    </xf>
    <xf numFmtId="181" fontId="10" fillId="0" borderId="10" xfId="0" applyNumberFormat="1" applyFont="1" applyFill="1" applyBorder="1" applyAlignment="1">
      <alignment horizontal="center" vertical="center"/>
    </xf>
    <xf numFmtId="17" fontId="10" fillId="0" borderId="11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1" fillId="0" borderId="0" xfId="0" applyFont="1" applyBorder="1"/>
    <xf numFmtId="0" fontId="10" fillId="0" borderId="6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10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7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2" fillId="0" borderId="14" xfId="0" applyNumberFormat="1" applyFont="1" applyBorder="1" applyAlignment="1">
      <alignment horizontal="center"/>
    </xf>
    <xf numFmtId="183" fontId="2" fillId="0" borderId="18" xfId="0" applyNumberFormat="1" applyFont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0" borderId="21" xfId="0" applyNumberFormat="1" applyFont="1" applyBorder="1" applyAlignment="1">
      <alignment horizontal="center"/>
    </xf>
    <xf numFmtId="183" fontId="2" fillId="0" borderId="22" xfId="0" applyNumberFormat="1" applyFont="1" applyBorder="1" applyAlignment="1">
      <alignment horizontal="center"/>
    </xf>
    <xf numFmtId="183" fontId="2" fillId="3" borderId="23" xfId="0" applyNumberFormat="1" applyFont="1" applyFill="1" applyBorder="1" applyAlignment="1">
      <alignment horizontal="center"/>
    </xf>
    <xf numFmtId="183" fontId="2" fillId="3" borderId="17" xfId="0" applyNumberFormat="1" applyFont="1" applyFill="1" applyBorder="1" applyAlignment="1">
      <alignment horizontal="center"/>
    </xf>
    <xf numFmtId="183" fontId="2" fillId="3" borderId="16" xfId="0" applyNumberFormat="1" applyFont="1" applyFill="1" applyBorder="1" applyAlignment="1">
      <alignment horizontal="center"/>
    </xf>
    <xf numFmtId="183" fontId="2" fillId="3" borderId="3" xfId="0" applyNumberFormat="1" applyFont="1" applyFill="1" applyBorder="1" applyAlignment="1">
      <alignment horizontal="center"/>
    </xf>
    <xf numFmtId="183" fontId="2" fillId="0" borderId="24" xfId="0" applyNumberFormat="1" applyFont="1" applyBorder="1" applyAlignment="1">
      <alignment horizontal="center"/>
    </xf>
    <xf numFmtId="183" fontId="2" fillId="3" borderId="15" xfId="0" applyNumberFormat="1" applyFont="1" applyFill="1" applyBorder="1" applyAlignment="1">
      <alignment horizontal="center"/>
    </xf>
    <xf numFmtId="183" fontId="2" fillId="0" borderId="20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2" fillId="3" borderId="18" xfId="0" applyNumberFormat="1" applyFont="1" applyFill="1" applyBorder="1" applyAlignment="1">
      <alignment horizontal="center"/>
    </xf>
    <xf numFmtId="183" fontId="2" fillId="3" borderId="4" xfId="0" applyNumberFormat="1" applyFont="1" applyFill="1" applyBorder="1" applyAlignment="1">
      <alignment horizontal="center"/>
    </xf>
    <xf numFmtId="183" fontId="2" fillId="0" borderId="3" xfId="0" applyNumberFormat="1" applyFont="1" applyFill="1" applyBorder="1" applyAlignment="1">
      <alignment horizontal="center"/>
    </xf>
    <xf numFmtId="183" fontId="2" fillId="0" borderId="18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183" fontId="2" fillId="0" borderId="19" xfId="0" applyNumberFormat="1" applyFont="1" applyFill="1" applyBorder="1" applyAlignment="1">
      <alignment horizontal="center"/>
    </xf>
    <xf numFmtId="183" fontId="2" fillId="0" borderId="2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83" fontId="4" fillId="5" borderId="6" xfId="0" applyNumberFormat="1" applyFont="1" applyFill="1" applyBorder="1" applyAlignment="1">
      <alignment horizontal="center"/>
    </xf>
    <xf numFmtId="183" fontId="4" fillId="5" borderId="7" xfId="0" applyNumberFormat="1" applyFont="1" applyFill="1" applyBorder="1" applyAlignment="1">
      <alignment horizontal="center"/>
    </xf>
    <xf numFmtId="0" fontId="4" fillId="6" borderId="3" xfId="0" applyFont="1" applyFill="1" applyBorder="1"/>
    <xf numFmtId="17" fontId="10" fillId="0" borderId="0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0" fontId="10" fillId="0" borderId="8" xfId="0" applyNumberFormat="1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/>
    </xf>
    <xf numFmtId="183" fontId="2" fillId="4" borderId="27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5" borderId="10" xfId="0" applyNumberFormat="1" applyFont="1" applyFill="1" applyBorder="1" applyAlignment="1">
      <alignment horizontal="center"/>
    </xf>
    <xf numFmtId="188" fontId="10" fillId="0" borderId="6" xfId="0" applyNumberFormat="1" applyFont="1" applyFill="1" applyBorder="1" applyAlignment="1">
      <alignment horizontal="center" vertical="center"/>
    </xf>
    <xf numFmtId="188" fontId="10" fillId="0" borderId="10" xfId="0" applyNumberFormat="1" applyFont="1" applyFill="1" applyBorder="1" applyAlignment="1">
      <alignment horizontal="center" vertical="center"/>
    </xf>
    <xf numFmtId="188" fontId="10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83" fontId="12" fillId="0" borderId="0" xfId="0" applyNumberFormat="1" applyFont="1"/>
    <xf numFmtId="183" fontId="2" fillId="4" borderId="24" xfId="0" applyNumberFormat="1" applyFont="1" applyFill="1" applyBorder="1" applyAlignment="1">
      <alignment horizontal="center"/>
    </xf>
    <xf numFmtId="17" fontId="10" fillId="0" borderId="34" xfId="0" applyNumberFormat="1" applyFont="1" applyFill="1" applyBorder="1" applyAlignment="1">
      <alignment horizontal="center" vertical="center"/>
    </xf>
    <xf numFmtId="188" fontId="10" fillId="0" borderId="35" xfId="0" applyNumberFormat="1" applyFont="1" applyFill="1" applyBorder="1" applyAlignment="1">
      <alignment horizontal="center" vertical="center"/>
    </xf>
    <xf numFmtId="188" fontId="10" fillId="0" borderId="25" xfId="0" applyNumberFormat="1" applyFont="1" applyFill="1" applyBorder="1" applyAlignment="1">
      <alignment horizontal="center" vertical="center"/>
    </xf>
    <xf numFmtId="188" fontId="10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3" fontId="0" fillId="0" borderId="9" xfId="0" applyNumberFormat="1" applyBorder="1"/>
    <xf numFmtId="188" fontId="10" fillId="0" borderId="34" xfId="0" applyNumberFormat="1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7" borderId="17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83" fontId="3" fillId="7" borderId="5" xfId="0" applyNumberFormat="1" applyFont="1" applyFill="1" applyBorder="1" applyAlignment="1">
      <alignment horizontal="center"/>
    </xf>
    <xf numFmtId="183" fontId="3" fillId="7" borderId="23" xfId="0" applyNumberFormat="1" applyFont="1" applyFill="1" applyBorder="1" applyAlignment="1">
      <alignment horizontal="center"/>
    </xf>
    <xf numFmtId="0" fontId="3" fillId="7" borderId="15" xfId="0" applyFont="1" applyFill="1" applyBorder="1"/>
    <xf numFmtId="179" fontId="3" fillId="7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6" borderId="14" xfId="0" applyNumberFormat="1" applyFont="1" applyFill="1" applyBorder="1" applyAlignment="1">
      <alignment horizontal="center"/>
    </xf>
    <xf numFmtId="3" fontId="4" fillId="6" borderId="4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3" fillId="8" borderId="3" xfId="0" applyFont="1" applyFill="1" applyBorder="1"/>
    <xf numFmtId="0" fontId="3" fillId="8" borderId="30" xfId="0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79" fontId="3" fillId="8" borderId="18" xfId="0" applyNumberFormat="1" applyFont="1" applyFill="1" applyBorder="1" applyAlignment="1">
      <alignment horizontal="right"/>
    </xf>
    <xf numFmtId="177" fontId="3" fillId="8" borderId="18" xfId="0" applyNumberFormat="1" applyFont="1" applyFill="1" applyBorder="1" applyAlignment="1">
      <alignment horizontal="center"/>
    </xf>
    <xf numFmtId="41" fontId="3" fillId="8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7" fillId="9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right"/>
    </xf>
    <xf numFmtId="177" fontId="4" fillId="6" borderId="18" xfId="0" applyNumberFormat="1" applyFont="1" applyFill="1" applyBorder="1" applyAlignment="1">
      <alignment horizontal="center"/>
    </xf>
    <xf numFmtId="41" fontId="4" fillId="6" borderId="4" xfId="1" applyFont="1" applyFill="1" applyBorder="1" applyAlignment="1">
      <alignment horizontal="center"/>
    </xf>
    <xf numFmtId="14" fontId="4" fillId="6" borderId="14" xfId="0" applyNumberFormat="1" applyFont="1" applyFill="1" applyBorder="1" applyAlignment="1">
      <alignment horizontal="center"/>
    </xf>
    <xf numFmtId="14" fontId="3" fillId="8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6" borderId="41" xfId="0" applyNumberFormat="1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183" fontId="4" fillId="6" borderId="43" xfId="0" applyNumberFormat="1" applyFont="1" applyFill="1" applyBorder="1" applyAlignment="1">
      <alignment horizontal="center"/>
    </xf>
    <xf numFmtId="3" fontId="4" fillId="6" borderId="44" xfId="0" applyNumberFormat="1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83" fontId="0" fillId="9" borderId="0" xfId="0" applyNumberFormat="1" applyFill="1" applyBorder="1"/>
    <xf numFmtId="0" fontId="0" fillId="9" borderId="0" xfId="0" applyFill="1" applyBorder="1"/>
    <xf numFmtId="0" fontId="4" fillId="9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9" borderId="0" xfId="0" applyFill="1"/>
    <xf numFmtId="0" fontId="0" fillId="9" borderId="0" xfId="0" applyFill="1" applyAlignment="1">
      <alignment horizontal="center"/>
    </xf>
    <xf numFmtId="183" fontId="0" fillId="9" borderId="0" xfId="0" applyNumberFormat="1" applyFill="1"/>
    <xf numFmtId="182" fontId="0" fillId="9" borderId="0" xfId="0" applyNumberFormat="1" applyFill="1"/>
    <xf numFmtId="179" fontId="0" fillId="9" borderId="0" xfId="0" applyNumberFormat="1" applyFill="1" applyAlignment="1">
      <alignment horizontal="right"/>
    </xf>
    <xf numFmtId="0" fontId="4" fillId="0" borderId="15" xfId="0" applyFont="1" applyBorder="1"/>
    <xf numFmtId="0" fontId="4" fillId="6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8" borderId="49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14" fontId="4" fillId="6" borderId="33" xfId="0" applyNumberFormat="1" applyFont="1" applyFill="1" applyBorder="1" applyAlignment="1">
      <alignment horizontal="center"/>
    </xf>
    <xf numFmtId="183" fontId="4" fillId="6" borderId="23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76" fontId="3" fillId="6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183" fontId="2" fillId="0" borderId="38" xfId="0" applyNumberFormat="1" applyFont="1" applyBorder="1"/>
    <xf numFmtId="183" fontId="2" fillId="0" borderId="40" xfId="0" applyNumberFormat="1" applyFont="1" applyFill="1" applyBorder="1" applyAlignment="1">
      <alignment horizontal="center"/>
    </xf>
    <xf numFmtId="0" fontId="0" fillId="10" borderId="0" xfId="0" applyFill="1" applyAlignment="1">
      <alignment vertical="center"/>
    </xf>
    <xf numFmtId="14" fontId="0" fillId="10" borderId="0" xfId="0" applyNumberFormat="1" applyFill="1" applyAlignment="1">
      <alignment vertical="center"/>
    </xf>
    <xf numFmtId="3" fontId="0" fillId="10" borderId="0" xfId="0" applyNumberFormat="1" applyFill="1" applyAlignment="1">
      <alignment vertical="center"/>
    </xf>
    <xf numFmtId="183" fontId="2" fillId="0" borderId="53" xfId="0" applyNumberFormat="1" applyFont="1" applyBorder="1" applyAlignment="1">
      <alignment horizontal="center"/>
    </xf>
    <xf numFmtId="0" fontId="3" fillId="8" borderId="49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14" fontId="4" fillId="6" borderId="30" xfId="0" applyNumberFormat="1" applyFont="1" applyFill="1" applyBorder="1" applyAlignment="1">
      <alignment horizontal="center"/>
    </xf>
    <xf numFmtId="14" fontId="4" fillId="6" borderId="31" xfId="0" applyNumberFormat="1" applyFont="1" applyFill="1" applyBorder="1" applyAlignment="1">
      <alignment horizontal="center"/>
    </xf>
    <xf numFmtId="183" fontId="4" fillId="6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6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10" fillId="0" borderId="54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11" borderId="50" xfId="0" applyNumberFormat="1" applyFont="1" applyFill="1" applyBorder="1" applyAlignment="1">
      <alignment horizontal="center"/>
    </xf>
    <xf numFmtId="14" fontId="3" fillId="11" borderId="45" xfId="0" applyNumberFormat="1" applyFont="1" applyFill="1" applyBorder="1" applyAlignment="1">
      <alignment horizontal="center"/>
    </xf>
    <xf numFmtId="183" fontId="3" fillId="11" borderId="12" xfId="0" applyNumberFormat="1" applyFont="1" applyFill="1" applyBorder="1" applyAlignment="1">
      <alignment horizontal="center"/>
    </xf>
    <xf numFmtId="183" fontId="3" fillId="11" borderId="46" xfId="0" applyNumberFormat="1" applyFont="1" applyFill="1" applyBorder="1" applyAlignment="1">
      <alignment horizontal="center"/>
    </xf>
    <xf numFmtId="3" fontId="3" fillId="11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6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6" borderId="27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83" fontId="4" fillId="5" borderId="11" xfId="0" applyNumberFormat="1" applyFont="1" applyFill="1" applyBorder="1" applyAlignment="1">
      <alignment horizontal="center"/>
    </xf>
    <xf numFmtId="183" fontId="4" fillId="6" borderId="13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left"/>
    </xf>
    <xf numFmtId="14" fontId="3" fillId="8" borderId="17" xfId="0" applyNumberFormat="1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183" fontId="2" fillId="0" borderId="46" xfId="0" applyNumberFormat="1" applyFont="1" applyBorder="1" applyAlignment="1">
      <alignment horizontal="center"/>
    </xf>
    <xf numFmtId="183" fontId="2" fillId="0" borderId="55" xfId="0" applyNumberFormat="1" applyFont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5" fillId="4" borderId="56" xfId="0" applyNumberFormat="1" applyFont="1" applyFill="1" applyBorder="1" applyAlignment="1">
      <alignment horizontal="center"/>
    </xf>
    <xf numFmtId="14" fontId="4" fillId="6" borderId="57" xfId="0" applyNumberFormat="1" applyFont="1" applyFill="1" applyBorder="1" applyAlignment="1">
      <alignment horizontal="center"/>
    </xf>
    <xf numFmtId="14" fontId="4" fillId="6" borderId="58" xfId="0" applyNumberFormat="1" applyFont="1" applyFill="1" applyBorder="1" applyAlignment="1">
      <alignment horizontal="center"/>
    </xf>
    <xf numFmtId="183" fontId="4" fillId="5" borderId="36" xfId="0" applyNumberFormat="1" applyFont="1" applyFill="1" applyBorder="1" applyAlignment="1">
      <alignment horizontal="center"/>
    </xf>
    <xf numFmtId="183" fontId="4" fillId="6" borderId="59" xfId="0" applyNumberFormat="1" applyFont="1" applyFill="1" applyBorder="1" applyAlignment="1">
      <alignment horizontal="center"/>
    </xf>
    <xf numFmtId="3" fontId="4" fillId="6" borderId="6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6" borderId="23" xfId="0" applyNumberFormat="1" applyFont="1" applyFill="1" applyBorder="1" applyAlignment="1">
      <alignment horizontal="center"/>
    </xf>
    <xf numFmtId="14" fontId="4" fillId="6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4" fontId="3" fillId="8" borderId="18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12" borderId="11" xfId="0" applyFont="1" applyFill="1" applyBorder="1" applyAlignment="1">
      <alignment horizontal="center" vertical="center"/>
    </xf>
    <xf numFmtId="0" fontId="3" fillId="12" borderId="36" xfId="0" applyFont="1" applyFill="1" applyBorder="1" applyAlignment="1">
      <alignment horizontal="center" vertical="center"/>
    </xf>
    <xf numFmtId="0" fontId="18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9" fillId="9" borderId="2" xfId="0" applyNumberFormat="1" applyFont="1" applyFill="1" applyBorder="1" applyAlignment="1">
      <alignment horizontal="center"/>
    </xf>
    <xf numFmtId="49" fontId="19" fillId="9" borderId="0" xfId="0" applyNumberFormat="1" applyFont="1" applyFill="1" applyBorder="1" applyAlignment="1">
      <alignment horizontal="center"/>
    </xf>
    <xf numFmtId="49" fontId="19" fillId="9" borderId="28" xfId="0" applyNumberFormat="1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4" xfId="0" applyFont="1" applyFill="1" applyBorder="1" applyAlignment="1">
      <alignment horizontal="center" vertical="center" textRotation="255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2" borderId="34" xfId="0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 vertical="center" wrapText="1"/>
    </xf>
    <xf numFmtId="183" fontId="2" fillId="4" borderId="24" xfId="0" applyNumberFormat="1" applyFont="1" applyFill="1" applyBorder="1" applyAlignment="1">
      <alignment horizontal="center" vertical="center" wrapText="1"/>
    </xf>
    <xf numFmtId="183" fontId="9" fillId="0" borderId="19" xfId="0" applyNumberFormat="1" applyFont="1" applyBorder="1" applyAlignment="1">
      <alignment horizontal="center"/>
    </xf>
    <xf numFmtId="183" fontId="9" fillId="0" borderId="20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183" fontId="2" fillId="0" borderId="19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9" fillId="3" borderId="3" xfId="0" applyNumberFormat="1" applyFont="1" applyFill="1" applyBorder="1" applyAlignment="1">
      <alignment horizontal="center"/>
    </xf>
    <xf numFmtId="183" fontId="9" fillId="3" borderId="4" xfId="0" applyNumberFormat="1" applyFont="1" applyFill="1" applyBorder="1" applyAlignment="1">
      <alignment horizontal="center"/>
    </xf>
    <xf numFmtId="183" fontId="2" fillId="0" borderId="26" xfId="0" applyNumberFormat="1" applyFont="1" applyBorder="1" applyAlignment="1">
      <alignment horizontal="center" wrapText="1"/>
    </xf>
    <xf numFmtId="183" fontId="2" fillId="0" borderId="62" xfId="0" applyNumberFormat="1" applyFont="1" applyBorder="1" applyAlignment="1">
      <alignment horizontal="center" wrapText="1"/>
    </xf>
    <xf numFmtId="183" fontId="2" fillId="0" borderId="63" xfId="0" applyNumberFormat="1" applyFont="1" applyBorder="1" applyAlignment="1">
      <alignment horizontal="center" wrapText="1"/>
    </xf>
    <xf numFmtId="183" fontId="2" fillId="0" borderId="47" xfId="0" applyNumberFormat="1" applyFont="1" applyBorder="1" applyAlignment="1">
      <alignment horizontal="center"/>
    </xf>
    <xf numFmtId="0" fontId="0" fillId="0" borderId="9" xfId="0" applyBorder="1"/>
    <xf numFmtId="183" fontId="2" fillId="0" borderId="49" xfId="0" applyNumberFormat="1" applyFont="1" applyBorder="1" applyAlignment="1">
      <alignment horizontal="center"/>
    </xf>
    <xf numFmtId="183" fontId="2" fillId="0" borderId="51" xfId="0" applyNumberFormat="1" applyFont="1" applyBorder="1" applyAlignment="1">
      <alignment horizontal="center"/>
    </xf>
    <xf numFmtId="183" fontId="5" fillId="4" borderId="38" xfId="0" applyNumberFormat="1" applyFont="1" applyFill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9" fillId="3" borderId="15" xfId="0" applyNumberFormat="1" applyFont="1" applyFill="1" applyBorder="1" applyAlignment="1">
      <alignment horizontal="center"/>
    </xf>
    <xf numFmtId="183" fontId="9" fillId="3" borderId="16" xfId="0" applyNumberFormat="1" applyFont="1" applyFill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6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6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A73" sqref="AA7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72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3" t="s">
        <v>428</v>
      </c>
      <c r="P2" s="175"/>
      <c r="Q2" s="175"/>
      <c r="R2" s="175"/>
      <c r="S2" s="174"/>
    </row>
    <row r="3" spans="1:19" ht="12" customHeight="1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3" t="s">
        <v>429</v>
      </c>
      <c r="P3" s="318" t="s">
        <v>427</v>
      </c>
      <c r="Q3" s="319"/>
      <c r="R3" s="319"/>
      <c r="S3" s="174"/>
    </row>
    <row r="4" spans="1:19" ht="10.5" customHeight="1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3" t="s">
        <v>426</v>
      </c>
      <c r="P4" s="326">
        <f ca="1">TODAY()</f>
        <v>43706</v>
      </c>
      <c r="Q4" s="327"/>
      <c r="R4" s="327"/>
      <c r="S4" s="174"/>
    </row>
    <row r="5" spans="1:19" ht="11.1" customHeight="1">
      <c r="A5" s="320" t="s">
        <v>349</v>
      </c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2"/>
    </row>
    <row r="6" spans="1:19" s="3" customFormat="1" ht="6.95" customHeight="1">
      <c r="A6" s="22"/>
      <c r="B6" s="177" t="s">
        <v>0</v>
      </c>
      <c r="C6" s="178" t="s">
        <v>1</v>
      </c>
      <c r="D6" s="178" t="s">
        <v>2</v>
      </c>
      <c r="E6" s="179" t="s">
        <v>77</v>
      </c>
      <c r="F6" s="180" t="s">
        <v>45</v>
      </c>
      <c r="G6" s="181" t="s">
        <v>9</v>
      </c>
      <c r="H6" s="21" t="s">
        <v>3</v>
      </c>
      <c r="I6" s="19"/>
      <c r="J6" s="1"/>
      <c r="K6" s="1" t="s">
        <v>0</v>
      </c>
      <c r="L6" s="1" t="s">
        <v>267</v>
      </c>
      <c r="M6" s="202" t="s">
        <v>2</v>
      </c>
      <c r="N6" s="179" t="s">
        <v>77</v>
      </c>
      <c r="O6" s="203" t="s">
        <v>45</v>
      </c>
      <c r="P6" s="1" t="s">
        <v>42</v>
      </c>
      <c r="Q6" s="204" t="s">
        <v>43</v>
      </c>
      <c r="R6" s="205" t="s">
        <v>75</v>
      </c>
      <c r="S6" s="45" t="s">
        <v>3</v>
      </c>
    </row>
    <row r="7" spans="1:19" s="3" customFormat="1" ht="6.95" customHeight="1">
      <c r="A7" s="316" t="s">
        <v>334</v>
      </c>
      <c r="B7" s="221" t="s">
        <v>505</v>
      </c>
      <c r="C7" s="222">
        <f>'1'!D2</f>
        <v>44722</v>
      </c>
      <c r="D7" s="192" t="str">
        <f>'1'!E2</f>
        <v>금</v>
      </c>
      <c r="E7" s="193">
        <f>'1'!S2</f>
        <v>1.175</v>
      </c>
      <c r="F7" s="194">
        <f>'1'!S2-'1(t-1)'!S2</f>
        <v>-2.0000000000000018E-3</v>
      </c>
      <c r="G7" s="223">
        <f>'1'!H2</f>
        <v>7990000</v>
      </c>
      <c r="H7" s="227"/>
      <c r="I7" s="19"/>
      <c r="J7" s="323" t="s">
        <v>44</v>
      </c>
      <c r="K7" s="157" t="str">
        <f>'1'!A63</f>
        <v>통안01180-2108-02</v>
      </c>
      <c r="L7" s="186">
        <f>'1'!D63</f>
        <v>44410</v>
      </c>
      <c r="M7" s="158" t="str">
        <f>'1'!E63</f>
        <v>월</v>
      </c>
      <c r="N7" s="159">
        <f>'1'!S63</f>
        <v>1.2</v>
      </c>
      <c r="O7" s="160">
        <f>N7-'1(t-1)'!S63</f>
        <v>1.2999999999999901E-2</v>
      </c>
      <c r="P7" s="161" t="str">
        <f>IF('1'!I63="이표고정","이표","할인")</f>
        <v>이표</v>
      </c>
      <c r="Q7" s="162">
        <f>'1'!K63</f>
        <v>1.18</v>
      </c>
      <c r="R7" s="163">
        <f>'1'!H63</f>
        <v>5500000</v>
      </c>
      <c r="S7" s="164"/>
    </row>
    <row r="8" spans="1:19" s="3" customFormat="1" ht="6.95" customHeight="1">
      <c r="A8" s="328"/>
      <c r="B8" s="151" t="s">
        <v>506</v>
      </c>
      <c r="C8" s="112">
        <f>'1'!D3</f>
        <v>44540</v>
      </c>
      <c r="D8" s="116" t="str">
        <f>'1'!E3</f>
        <v>금</v>
      </c>
      <c r="E8" s="84">
        <f>'1'!S3</f>
        <v>1.2010000000000001</v>
      </c>
      <c r="F8" s="53">
        <f>'1'!S3-'1(t-1)'!S3</f>
        <v>-4.0000000000000036E-3</v>
      </c>
      <c r="G8" s="199">
        <f>'1'!H3</f>
        <v>9943000</v>
      </c>
      <c r="H8" s="176"/>
      <c r="I8" s="19"/>
      <c r="J8" s="324"/>
      <c r="K8" s="86" t="str">
        <f>'1'!A64</f>
        <v>통안01585-2106-02</v>
      </c>
      <c r="L8" s="185">
        <f>'1'!D64</f>
        <v>44349</v>
      </c>
      <c r="M8" s="105" t="str">
        <f>'1'!E64</f>
        <v>수</v>
      </c>
      <c r="N8" s="84">
        <f>'1'!S64</f>
        <v>1.2170000000000001</v>
      </c>
      <c r="O8" s="154">
        <f>N8-'1(t-1)'!S64</f>
        <v>9.000000000000119E-3</v>
      </c>
      <c r="P8" s="182" t="str">
        <f>IF('1'!I64="이표고정","이표","할인")</f>
        <v>이표</v>
      </c>
      <c r="Q8" s="183">
        <f>'1'!K64</f>
        <v>1.585</v>
      </c>
      <c r="R8" s="184">
        <f>'1'!H64</f>
        <v>11700000</v>
      </c>
      <c r="S8" s="122"/>
    </row>
    <row r="9" spans="1:19" s="3" customFormat="1" ht="6.95" customHeight="1">
      <c r="A9" s="328"/>
      <c r="B9" s="151" t="s">
        <v>366</v>
      </c>
      <c r="C9" s="112">
        <f>'1'!D4</f>
        <v>44357</v>
      </c>
      <c r="D9" s="116" t="str">
        <f>'1'!E4</f>
        <v>목</v>
      </c>
      <c r="E9" s="84">
        <f>'1'!S4</f>
        <v>1.2</v>
      </c>
      <c r="F9" s="53">
        <f>'1'!S4-'1(t-1)'!S4</f>
        <v>-4.0000000000000036E-3</v>
      </c>
      <c r="G9" s="199">
        <f>'1'!H4</f>
        <v>9469000</v>
      </c>
      <c r="H9" s="122" t="s">
        <v>192</v>
      </c>
      <c r="I9" s="19"/>
      <c r="J9" s="324"/>
      <c r="K9" s="86" t="str">
        <f>'1'!A65</f>
        <v>통안01740-2104-02</v>
      </c>
      <c r="L9" s="185">
        <f>'1'!D65</f>
        <v>44288</v>
      </c>
      <c r="M9" s="105" t="str">
        <f>'1'!E65</f>
        <v>금</v>
      </c>
      <c r="N9" s="84">
        <f>'1'!S65</f>
        <v>1.216</v>
      </c>
      <c r="O9" s="154">
        <f>N9-'1(t-1)'!S65</f>
        <v>6.0000000000000053E-3</v>
      </c>
      <c r="P9" s="182" t="str">
        <f>IF('1'!I65="이표고정","이표","할인")</f>
        <v>이표</v>
      </c>
      <c r="Q9" s="183">
        <f>'1'!K65</f>
        <v>1.74</v>
      </c>
      <c r="R9" s="184">
        <f>'1'!H65</f>
        <v>13600000</v>
      </c>
      <c r="S9" s="122" t="s">
        <v>78</v>
      </c>
    </row>
    <row r="10" spans="1:19" s="3" customFormat="1" ht="6.95" customHeight="1">
      <c r="A10" s="328"/>
      <c r="B10" s="156" t="s">
        <v>322</v>
      </c>
      <c r="C10" s="103">
        <f>'1'!D5</f>
        <v>44175</v>
      </c>
      <c r="D10" s="105" t="str">
        <f>'1'!E5</f>
        <v>목</v>
      </c>
      <c r="E10" s="84">
        <f>'1'!S5</f>
        <v>1.1559999999999999</v>
      </c>
      <c r="F10" s="154">
        <f>'1'!S5-'1(t-1)'!S5</f>
        <v>4.9999999999998934E-3</v>
      </c>
      <c r="G10" s="155">
        <f>'1'!H5</f>
        <v>10595000</v>
      </c>
      <c r="H10" s="215">
        <f>E7-N7</f>
        <v>-2.4999999999999911E-2</v>
      </c>
      <c r="I10" s="20"/>
      <c r="J10" s="324"/>
      <c r="K10" s="157" t="str">
        <f>'1'!A66</f>
        <v>통안01810-2102-02</v>
      </c>
      <c r="L10" s="186">
        <f>'1'!D66</f>
        <v>44229</v>
      </c>
      <c r="M10" s="158" t="str">
        <f>'1'!E66</f>
        <v>화</v>
      </c>
      <c r="N10" s="159">
        <f>'1'!S66</f>
        <v>1.19</v>
      </c>
      <c r="O10" s="160">
        <f>N10-'1(t-1)'!S66</f>
        <v>4.9999999999998934E-3</v>
      </c>
      <c r="P10" s="161" t="str">
        <f>IF('1'!I66="이표고정","이표","할인")</f>
        <v>이표</v>
      </c>
      <c r="Q10" s="162">
        <f>'1'!K66</f>
        <v>1.81</v>
      </c>
      <c r="R10" s="163">
        <f>'1'!H66</f>
        <v>12950000</v>
      </c>
      <c r="S10" s="215">
        <f>N7-N13</f>
        <v>3.0999999999999917E-2</v>
      </c>
    </row>
    <row r="11" spans="1:19" s="3" customFormat="1" ht="6.95" customHeight="1">
      <c r="A11" s="328"/>
      <c r="B11" s="151" t="s">
        <v>305</v>
      </c>
      <c r="C11" s="103">
        <f>'1'!D6</f>
        <v>43992</v>
      </c>
      <c r="D11" s="105" t="str">
        <f>'1'!E6</f>
        <v>수</v>
      </c>
      <c r="E11" s="84">
        <f>'1'!S6</f>
        <v>1.135</v>
      </c>
      <c r="F11" s="154">
        <f>'1'!S6-'1(t-1)'!S6</f>
        <v>1.0000000000000009E-2</v>
      </c>
      <c r="G11" s="155">
        <f>'1'!H6</f>
        <v>7539000</v>
      </c>
      <c r="H11" s="219"/>
      <c r="I11" s="20"/>
      <c r="J11" s="324"/>
      <c r="K11" s="86" t="str">
        <f>'1'!A67</f>
        <v>통안01930-2012-02</v>
      </c>
      <c r="L11" s="185">
        <f>'1'!D67</f>
        <v>44167</v>
      </c>
      <c r="M11" s="105" t="str">
        <f>'1'!E67</f>
        <v>수</v>
      </c>
      <c r="N11" s="84">
        <f>'1'!S67</f>
        <v>1.1759999999999999</v>
      </c>
      <c r="O11" s="154">
        <f>N11-'1(t-1)'!S67</f>
        <v>4.0000000000000036E-3</v>
      </c>
      <c r="P11" s="182" t="str">
        <f>IF('1'!I67="이표고정","이표","할인")</f>
        <v>이표</v>
      </c>
      <c r="Q11" s="183">
        <f>'1'!K67</f>
        <v>1.93</v>
      </c>
      <c r="R11" s="184">
        <f>'1'!H67</f>
        <v>10900000</v>
      </c>
      <c r="S11" s="122"/>
    </row>
    <row r="12" spans="1:19" s="3" customFormat="1" ht="6.95" customHeight="1">
      <c r="A12" s="328"/>
      <c r="B12" s="253" t="s">
        <v>292</v>
      </c>
      <c r="C12" s="188">
        <f>'1'!D7</f>
        <v>43809</v>
      </c>
      <c r="D12" s="189" t="str">
        <f>'1'!E7</f>
        <v>화</v>
      </c>
      <c r="E12" s="118">
        <f>'1'!S7</f>
        <v>1.198</v>
      </c>
      <c r="F12" s="190">
        <f>'1'!S7-'1(t-1)'!S7</f>
        <v>-8.0000000000000071E-3</v>
      </c>
      <c r="G12" s="191">
        <f>'1'!H7</f>
        <v>6599000</v>
      </c>
      <c r="H12" s="219"/>
      <c r="I12" s="20"/>
      <c r="J12" s="324"/>
      <c r="K12" s="86" t="str">
        <f>'1'!A68</f>
        <v>통안02050-2010-02</v>
      </c>
      <c r="L12" s="185">
        <f>'1'!D68</f>
        <v>44109</v>
      </c>
      <c r="M12" s="105" t="str">
        <f>'1'!E68</f>
        <v>월</v>
      </c>
      <c r="N12" s="84">
        <f>'1'!S68</f>
        <v>1.17</v>
      </c>
      <c r="O12" s="154">
        <f>N12-'1(t-1)'!S68</f>
        <v>1.0000000000000009E-2</v>
      </c>
      <c r="P12" s="182" t="str">
        <f>IF('1'!I68="이표고정","이표","할인")</f>
        <v>이표</v>
      </c>
      <c r="Q12" s="183">
        <f>'1'!K68</f>
        <v>2.0499999999999998</v>
      </c>
      <c r="R12" s="184">
        <f>'1'!H68</f>
        <v>11320000</v>
      </c>
      <c r="S12" s="122" t="s">
        <v>79</v>
      </c>
    </row>
    <row r="13" spans="1:19" s="3" customFormat="1" ht="6.95" customHeight="1">
      <c r="A13" s="307" t="s">
        <v>438</v>
      </c>
      <c r="B13" s="259" t="s">
        <v>535</v>
      </c>
      <c r="C13" s="264">
        <f>'1'!D9</f>
        <v>45545</v>
      </c>
      <c r="D13" s="265" t="str">
        <f>'1'!E9</f>
        <v>화</v>
      </c>
      <c r="E13" s="266">
        <f>'1'!S9</f>
        <v>1.1910000000000001</v>
      </c>
      <c r="F13" s="267">
        <f>'1'!S9-'1(t-1)'!S9</f>
        <v>0</v>
      </c>
      <c r="G13" s="268">
        <f>'1'!H9</f>
        <v>1234000</v>
      </c>
      <c r="H13" s="200"/>
      <c r="I13" s="8"/>
      <c r="J13" s="324"/>
      <c r="K13" s="157" t="str">
        <f>'1'!A69</f>
        <v>통안02060-2008-02</v>
      </c>
      <c r="L13" s="186">
        <f>'1'!D69</f>
        <v>44045</v>
      </c>
      <c r="M13" s="158" t="str">
        <f>'1'!E69</f>
        <v>일</v>
      </c>
      <c r="N13" s="159">
        <f>'1'!S69</f>
        <v>1.169</v>
      </c>
      <c r="O13" s="160">
        <f>N13-'1(t-1)'!S69</f>
        <v>4.0000000000000036E-3</v>
      </c>
      <c r="P13" s="161" t="str">
        <f>IF('1'!I69="이표고정","이표","할인")</f>
        <v>이표</v>
      </c>
      <c r="Q13" s="162">
        <f>'1'!K69</f>
        <v>2.06</v>
      </c>
      <c r="R13" s="163">
        <f>'1'!H69</f>
        <v>10690000</v>
      </c>
      <c r="S13" s="215">
        <f>N7-N10</f>
        <v>1.0000000000000009E-2</v>
      </c>
    </row>
    <row r="14" spans="1:19" s="3" customFormat="1" ht="6.95" customHeight="1">
      <c r="A14" s="308"/>
      <c r="B14" s="221" t="s">
        <v>536</v>
      </c>
      <c r="C14" s="222">
        <f>'1'!D10</f>
        <v>45361</v>
      </c>
      <c r="D14" s="192" t="str">
        <f>'1'!E10</f>
        <v>일</v>
      </c>
      <c r="E14" s="193">
        <f>'1'!S10</f>
        <v>1.21</v>
      </c>
      <c r="F14" s="194">
        <f>'1'!S10-'1(t-1)'!S10</f>
        <v>0</v>
      </c>
      <c r="G14" s="223">
        <f>'1'!H10</f>
        <v>10675000</v>
      </c>
      <c r="H14" s="96" t="s">
        <v>191</v>
      </c>
      <c r="I14" s="8"/>
      <c r="J14" s="324"/>
      <c r="K14" s="86" t="str">
        <f>'1'!A70</f>
        <v>통안01480-2007-01</v>
      </c>
      <c r="L14" s="185">
        <f>'1'!D70</f>
        <v>44021</v>
      </c>
      <c r="M14" s="105" t="str">
        <f>'1'!E70</f>
        <v>목</v>
      </c>
      <c r="N14" s="84">
        <f>'1'!S70</f>
        <v>1.1639999999999999</v>
      </c>
      <c r="O14" s="154">
        <f>N14-'1(t-1)'!S70</f>
        <v>8.0000000000000071E-3</v>
      </c>
      <c r="P14" s="182" t="str">
        <f>IF('1'!I70="이표고정","이표","할인")</f>
        <v>이표</v>
      </c>
      <c r="Q14" s="183">
        <f>'1'!K70</f>
        <v>1.48</v>
      </c>
      <c r="R14" s="184">
        <f>'1'!H70</f>
        <v>4550000</v>
      </c>
      <c r="S14" s="165"/>
    </row>
    <row r="15" spans="1:19" s="3" customFormat="1" ht="6.95" customHeight="1">
      <c r="A15" s="308"/>
      <c r="B15" s="156" t="s">
        <v>420</v>
      </c>
      <c r="C15" s="103">
        <f>'1'!D11</f>
        <v>45179</v>
      </c>
      <c r="D15" s="105" t="str">
        <f>'1'!E11</f>
        <v>일</v>
      </c>
      <c r="E15" s="84">
        <f>'1'!S11</f>
        <v>1.2150000000000001</v>
      </c>
      <c r="F15" s="154">
        <f>'1'!S11-'1(t-1)'!S11</f>
        <v>-2.0000000000000018E-3</v>
      </c>
      <c r="G15" s="155">
        <f>'1'!H11</f>
        <v>7342000</v>
      </c>
      <c r="H15" s="216">
        <f>E14-E7</f>
        <v>3.499999999999992E-2</v>
      </c>
      <c r="I15" s="8"/>
      <c r="J15" s="324"/>
      <c r="K15" s="86" t="str">
        <f>'1'!A71</f>
        <v>통안02140-2006-02</v>
      </c>
      <c r="L15" s="185">
        <f>'1'!D71</f>
        <v>43984</v>
      </c>
      <c r="M15" s="105" t="str">
        <f>'1'!E71</f>
        <v>화</v>
      </c>
      <c r="N15" s="84">
        <f>'1'!S71</f>
        <v>1.1459999999999999</v>
      </c>
      <c r="O15" s="154">
        <f>N15-'1(t-1)'!S71</f>
        <v>2.9999999999998916E-3</v>
      </c>
      <c r="P15" s="182" t="str">
        <f>IF('1'!I71="이표고정","이표","할인")</f>
        <v>이표</v>
      </c>
      <c r="Q15" s="183">
        <f>'1'!K71</f>
        <v>2.14</v>
      </c>
      <c r="R15" s="184">
        <f>'1'!H71</f>
        <v>12020000</v>
      </c>
      <c r="S15" s="122"/>
    </row>
    <row r="16" spans="1:19" s="3" customFormat="1" ht="6.95" customHeight="1">
      <c r="A16" s="308"/>
      <c r="B16" s="14" t="s">
        <v>376</v>
      </c>
      <c r="C16" s="103">
        <f>'1'!D12</f>
        <v>44995</v>
      </c>
      <c r="D16" s="105" t="str">
        <f>'1'!E12</f>
        <v>금</v>
      </c>
      <c r="E16" s="84">
        <f>'1'!S12</f>
        <v>1.2130000000000001</v>
      </c>
      <c r="F16" s="154">
        <f>'1'!S12-'1(t-1)'!S12</f>
        <v>-2.9999999999998916E-3</v>
      </c>
      <c r="G16" s="155">
        <f>'1'!H12</f>
        <v>12566000</v>
      </c>
      <c r="H16" s="96"/>
      <c r="I16" s="9"/>
      <c r="J16" s="324"/>
      <c r="K16" s="86" t="str">
        <f>'1'!A72</f>
        <v>통안01715-2005-01</v>
      </c>
      <c r="L16" s="185">
        <f>'1'!D72</f>
        <v>43960</v>
      </c>
      <c r="M16" s="105" t="str">
        <f>'1'!E72</f>
        <v>토</v>
      </c>
      <c r="N16" s="84">
        <f>'1'!S72</f>
        <v>1.171</v>
      </c>
      <c r="O16" s="154">
        <f>N16-'1(t-1)'!S72</f>
        <v>2.0000000000000018E-3</v>
      </c>
      <c r="P16" s="182" t="str">
        <f>IF('1'!I72="이표고정","이표","할인")</f>
        <v>이표</v>
      </c>
      <c r="Q16" s="183">
        <f>'1'!K72</f>
        <v>1.7150000000000001</v>
      </c>
      <c r="R16" s="184">
        <f>'1'!H72</f>
        <v>5100000</v>
      </c>
      <c r="S16" s="122" t="s">
        <v>80</v>
      </c>
    </row>
    <row r="17" spans="1:19" ht="6.95" customHeight="1">
      <c r="A17" s="308"/>
      <c r="B17" s="14" t="s">
        <v>375</v>
      </c>
      <c r="C17" s="103">
        <f>'1'!D13</f>
        <v>44814</v>
      </c>
      <c r="D17" s="105" t="str">
        <f>'1'!E13</f>
        <v>토</v>
      </c>
      <c r="E17" s="84">
        <f>'1'!S13</f>
        <v>1.21</v>
      </c>
      <c r="F17" s="154">
        <f>'1'!S13-'1(t-1)'!S13</f>
        <v>-4.0000000000000036E-3</v>
      </c>
      <c r="G17" s="155">
        <f>'1'!H13</f>
        <v>9626000</v>
      </c>
      <c r="H17" s="96" t="s">
        <v>152</v>
      </c>
      <c r="I17" s="5"/>
      <c r="J17" s="324"/>
      <c r="K17" s="86" t="str">
        <f>'1'!A73</f>
        <v>통안02120-2004-02</v>
      </c>
      <c r="L17" s="185">
        <f>'1'!D73</f>
        <v>43923</v>
      </c>
      <c r="M17" s="105" t="str">
        <f>'1'!E73</f>
        <v>목</v>
      </c>
      <c r="N17" s="84">
        <f>'1'!S73</f>
        <v>1.1659999999999999</v>
      </c>
      <c r="O17" s="154">
        <f>N17-'1(t-1)'!S73</f>
        <v>2.0000000000000018E-3</v>
      </c>
      <c r="P17" s="182" t="str">
        <f>IF('1'!I73="이표고정","이표","할인")</f>
        <v>이표</v>
      </c>
      <c r="Q17" s="183">
        <f>'1'!K73</f>
        <v>2.12</v>
      </c>
      <c r="R17" s="184">
        <f>'1'!H73</f>
        <v>11590000</v>
      </c>
      <c r="S17" s="215">
        <f>N10-N13</f>
        <v>2.0999999999999908E-2</v>
      </c>
    </row>
    <row r="18" spans="1:19" ht="6.95" customHeight="1">
      <c r="A18" s="308"/>
      <c r="B18" s="132" t="s">
        <v>374</v>
      </c>
      <c r="C18" s="103">
        <f>'1'!D14</f>
        <v>44630</v>
      </c>
      <c r="D18" s="105" t="str">
        <f>'1'!E14</f>
        <v>목</v>
      </c>
      <c r="E18" s="84">
        <f>'1'!S14</f>
        <v>1.2050000000000001</v>
      </c>
      <c r="F18" s="154">
        <f>'1'!S14-'1(t-1)'!S14</f>
        <v>-4.9999999999998934E-3</v>
      </c>
      <c r="G18" s="155">
        <f>'1'!H14</f>
        <v>13346000</v>
      </c>
      <c r="H18" s="123">
        <f>E14-N7</f>
        <v>1.0000000000000009E-2</v>
      </c>
      <c r="I18" s="5"/>
      <c r="J18" s="324"/>
      <c r="K18" s="86" t="str">
        <f>'1'!A74</f>
        <v>통안01830-2003-01</v>
      </c>
      <c r="L18" s="185">
        <f>'1'!D74</f>
        <v>43899</v>
      </c>
      <c r="M18" s="105" t="str">
        <f>'1'!E74</f>
        <v>월</v>
      </c>
      <c r="N18" s="84">
        <f>'1'!S74</f>
        <v>1.1890000000000001</v>
      </c>
      <c r="O18" s="154">
        <f>N18-'1(t-1)'!S74</f>
        <v>2.0000000000000018E-3</v>
      </c>
      <c r="P18" s="182" t="str">
        <f>IF('1'!I74="이표고정","이표","할인")</f>
        <v>이표</v>
      </c>
      <c r="Q18" s="183">
        <f>'1'!K74</f>
        <v>1.83</v>
      </c>
      <c r="R18" s="184">
        <f>'1'!H74</f>
        <v>5850000</v>
      </c>
      <c r="S18" s="122"/>
    </row>
    <row r="19" spans="1:19" ht="6.95" customHeight="1">
      <c r="A19" s="308"/>
      <c r="B19" s="187" t="s">
        <v>373</v>
      </c>
      <c r="C19" s="103">
        <f>'1'!D15</f>
        <v>44449</v>
      </c>
      <c r="D19" s="105" t="str">
        <f>'1'!E15</f>
        <v>금</v>
      </c>
      <c r="E19" s="84">
        <f>'1'!S15</f>
        <v>1.2010000000000001</v>
      </c>
      <c r="F19" s="154">
        <f>'1'!S15-'1(t-1)'!S15</f>
        <v>-4.0000000000000036E-3</v>
      </c>
      <c r="G19" s="155">
        <f>'1'!H15</f>
        <v>9553000</v>
      </c>
      <c r="H19" s="260"/>
      <c r="I19" s="5"/>
      <c r="J19" s="324"/>
      <c r="K19" s="86" t="str">
        <f>'1'!A75</f>
        <v>통안DC020-0218-1820</v>
      </c>
      <c r="L19" s="185">
        <f>'1'!D75</f>
        <v>43879</v>
      </c>
      <c r="M19" s="105" t="str">
        <f>'1'!E75</f>
        <v>화</v>
      </c>
      <c r="N19" s="84">
        <f>'1'!S75</f>
        <v>1.1910000000000001</v>
      </c>
      <c r="O19" s="154">
        <f>N19-'1(t-1)'!S75</f>
        <v>3.0000000000001137E-3</v>
      </c>
      <c r="P19" s="182" t="str">
        <f>IF('1'!I75="이표고정","이표","할인")</f>
        <v>할인</v>
      </c>
      <c r="Q19" s="183">
        <f>'1'!K75</f>
        <v>1.1830000000000001</v>
      </c>
      <c r="R19" s="184">
        <f>'1'!H75</f>
        <v>300000</v>
      </c>
      <c r="S19" s="122"/>
    </row>
    <row r="20" spans="1:19" ht="6.95" customHeight="1">
      <c r="A20" s="308"/>
      <c r="B20" s="187" t="s">
        <v>372</v>
      </c>
      <c r="C20" s="103">
        <f>'1'!D16</f>
        <v>44265</v>
      </c>
      <c r="D20" s="105" t="str">
        <f>'1'!E16</f>
        <v>수</v>
      </c>
      <c r="E20" s="84">
        <f>'1'!S16</f>
        <v>1.1599999999999999</v>
      </c>
      <c r="F20" s="154">
        <f>'1'!S16-'1(t-1)'!S16</f>
        <v>9.9999999999988987E-4</v>
      </c>
      <c r="G20" s="155">
        <f>'1'!H16</f>
        <v>12879000</v>
      </c>
      <c r="H20" s="260"/>
      <c r="I20" s="6"/>
      <c r="J20" s="324"/>
      <c r="K20" s="86" t="str">
        <f>'1'!A76</f>
        <v>통안DC020-0204-1820</v>
      </c>
      <c r="L20" s="185">
        <f>'1'!D76</f>
        <v>43865</v>
      </c>
      <c r="M20" s="105" t="str">
        <f>'1'!E76</f>
        <v>화</v>
      </c>
      <c r="N20" s="84">
        <f>'1'!S76</f>
        <v>1.208</v>
      </c>
      <c r="O20" s="154">
        <f>N20-'1(t-1)'!S76</f>
        <v>0</v>
      </c>
      <c r="P20" s="182" t="str">
        <f>IF('1'!I76="이표고정","이표","할인")</f>
        <v>할인</v>
      </c>
      <c r="Q20" s="183">
        <f>'1'!K76</f>
        <v>1.2909999999999999</v>
      </c>
      <c r="R20" s="184">
        <f>'1'!H76</f>
        <v>300000</v>
      </c>
      <c r="S20" s="122"/>
    </row>
    <row r="21" spans="1:19" ht="6.95" customHeight="1">
      <c r="A21" s="308"/>
      <c r="B21" s="187" t="s">
        <v>371</v>
      </c>
      <c r="C21" s="103">
        <f>'1'!D17</f>
        <v>44084</v>
      </c>
      <c r="D21" s="105" t="str">
        <f>'1'!E17</f>
        <v>목</v>
      </c>
      <c r="E21" s="84">
        <f>'1'!S17</f>
        <v>1.155</v>
      </c>
      <c r="F21" s="154">
        <f>'1'!S17-'1(t-1)'!S17</f>
        <v>6.0000000000000053E-3</v>
      </c>
      <c r="G21" s="155">
        <f>'1'!H17</f>
        <v>12033000</v>
      </c>
      <c r="H21" s="260"/>
      <c r="I21" s="5"/>
      <c r="J21" s="324"/>
      <c r="K21" s="157" t="str">
        <f>'1'!A77</f>
        <v>통안02160-2002-02</v>
      </c>
      <c r="L21" s="186">
        <f>'1'!D77</f>
        <v>43863</v>
      </c>
      <c r="M21" s="158" t="str">
        <f>'1'!E77</f>
        <v>일</v>
      </c>
      <c r="N21" s="159">
        <f>'1'!S77</f>
        <v>1.1930000000000001</v>
      </c>
      <c r="O21" s="160">
        <f>N21-'1(t-1)'!S77</f>
        <v>3.0000000000001137E-3</v>
      </c>
      <c r="P21" s="161" t="str">
        <f>IF('1'!I77="이표고정","이표","할인")</f>
        <v>이표</v>
      </c>
      <c r="Q21" s="162">
        <f>'1'!K77</f>
        <v>2.16</v>
      </c>
      <c r="R21" s="163">
        <f>'1'!H77</f>
        <v>9460000</v>
      </c>
      <c r="S21" s="122"/>
    </row>
    <row r="22" spans="1:19" ht="6.95" customHeight="1">
      <c r="A22" s="308"/>
      <c r="B22" s="132" t="s">
        <v>370</v>
      </c>
      <c r="C22" s="103">
        <f>'1'!D18</f>
        <v>43900</v>
      </c>
      <c r="D22" s="105" t="str">
        <f>'1'!E18</f>
        <v>화</v>
      </c>
      <c r="E22" s="84">
        <f>'1'!S18</f>
        <v>1.1579999999999999</v>
      </c>
      <c r="F22" s="154">
        <f>'1'!S18-'1(t-1)'!S18</f>
        <v>0</v>
      </c>
      <c r="G22" s="155">
        <f>'1'!H18</f>
        <v>7717000</v>
      </c>
      <c r="H22" s="247"/>
      <c r="I22" s="6"/>
      <c r="J22" s="324"/>
      <c r="K22" s="86" t="str">
        <f>'1'!A78</f>
        <v>통안DC020-0114-1820</v>
      </c>
      <c r="L22" s="185">
        <f>'1'!D78</f>
        <v>43844</v>
      </c>
      <c r="M22" s="105" t="str">
        <f>'1'!E78</f>
        <v>화</v>
      </c>
      <c r="N22" s="84">
        <f>'1'!S78</f>
        <v>1.216</v>
      </c>
      <c r="O22" s="154">
        <f>N22-'1(t-1)'!S78</f>
        <v>9.9999999999988987E-4</v>
      </c>
      <c r="P22" s="182" t="str">
        <f>IF('1'!I78="이표고정","이표","할인")</f>
        <v>할인</v>
      </c>
      <c r="Q22" s="183">
        <f>'1'!K78</f>
        <v>1.46</v>
      </c>
      <c r="R22" s="184">
        <f>'1'!H78</f>
        <v>300000</v>
      </c>
      <c r="S22" s="220"/>
    </row>
    <row r="23" spans="1:19" ht="6.95" customHeight="1">
      <c r="A23" s="309"/>
      <c r="B23" s="261" t="s">
        <v>369</v>
      </c>
      <c r="C23" s="237">
        <f>'1'!D19</f>
        <v>43718</v>
      </c>
      <c r="D23" s="262" t="str">
        <f>'1'!E19</f>
        <v>화</v>
      </c>
      <c r="E23" s="85">
        <f>'1'!S19</f>
        <v>1.2450000000000001</v>
      </c>
      <c r="F23" s="241">
        <f>'1'!S19-'1(t-1)'!S19</f>
        <v>-4.0000000000000036E-3</v>
      </c>
      <c r="G23" s="238">
        <f>'1'!H19</f>
        <v>8734000</v>
      </c>
      <c r="H23" s="263"/>
      <c r="I23" s="5"/>
      <c r="J23" s="324"/>
      <c r="K23" s="86" t="str">
        <f>'1'!A79</f>
        <v>통안01820-2001-01</v>
      </c>
      <c r="L23" s="185">
        <f>'1'!D79</f>
        <v>43839</v>
      </c>
      <c r="M23" s="105" t="str">
        <f>'1'!E79</f>
        <v>목</v>
      </c>
      <c r="N23" s="84">
        <f>'1'!S79</f>
        <v>1.2230000000000001</v>
      </c>
      <c r="O23" s="154">
        <f>N23-'1(t-1)'!S79</f>
        <v>2.0000000000000018E-3</v>
      </c>
      <c r="P23" s="182" t="str">
        <f>IF('1'!I79="이표고정","이표","할인")</f>
        <v>이표</v>
      </c>
      <c r="Q23" s="183">
        <f>'1'!K79</f>
        <v>1.82</v>
      </c>
      <c r="R23" s="184">
        <f>'1'!H79</f>
        <v>5180000</v>
      </c>
      <c r="S23" s="220"/>
    </row>
    <row r="24" spans="1:19" ht="6.95" customHeight="1">
      <c r="A24" s="308" t="s">
        <v>274</v>
      </c>
      <c r="B24" s="235" t="s">
        <v>507</v>
      </c>
      <c r="C24" s="254">
        <f>'1'!D21</f>
        <v>47279</v>
      </c>
      <c r="D24" s="255" t="str">
        <f>'1'!E21</f>
        <v>일</v>
      </c>
      <c r="E24" s="256">
        <f>'1'!S21</f>
        <v>1.2410000000000001</v>
      </c>
      <c r="F24" s="257">
        <f>'1'!S21-'1(t-1)'!S21</f>
        <v>-8.999999999999897E-3</v>
      </c>
      <c r="G24" s="258">
        <f>'1'!H21</f>
        <v>8343000</v>
      </c>
      <c r="H24" s="136"/>
      <c r="I24" s="8"/>
      <c r="J24" s="324"/>
      <c r="K24" s="86" t="str">
        <f>'1'!A80</f>
        <v>통안DC019-1231-1820</v>
      </c>
      <c r="L24" s="185">
        <f>'1'!D80</f>
        <v>43830</v>
      </c>
      <c r="M24" s="105" t="str">
        <f>'1'!E80</f>
        <v>화</v>
      </c>
      <c r="N24" s="84">
        <f>'1'!S80</f>
        <v>1.2310000000000001</v>
      </c>
      <c r="O24" s="154">
        <f>N24-'1(t-1)'!S80</f>
        <v>1.0000000000001119E-3</v>
      </c>
      <c r="P24" s="182" t="str">
        <f>IF('1'!I80="이표고정","이표","할인")</f>
        <v>할인</v>
      </c>
      <c r="Q24" s="183">
        <f>'1'!K80</f>
        <v>1.528</v>
      </c>
      <c r="R24" s="184">
        <f>'1'!H80</f>
        <v>300000</v>
      </c>
      <c r="S24" s="122"/>
    </row>
    <row r="25" spans="1:19" ht="6.95" customHeight="1">
      <c r="A25" s="308"/>
      <c r="B25" s="14" t="s">
        <v>508</v>
      </c>
      <c r="C25" s="103">
        <f>'1'!D22</f>
        <v>47097</v>
      </c>
      <c r="D25" s="239" t="str">
        <f>'1'!E22</f>
        <v>일</v>
      </c>
      <c r="E25" s="84">
        <f>'1'!S22</f>
        <v>1.25</v>
      </c>
      <c r="F25" s="154">
        <f>'1'!S22-'1(t-1)'!S22</f>
        <v>-1.0000000000000009E-2</v>
      </c>
      <c r="G25" s="155">
        <f>'1'!H22</f>
        <v>11424000</v>
      </c>
      <c r="H25" s="122" t="s">
        <v>356</v>
      </c>
      <c r="I25" s="8"/>
      <c r="J25" s="324"/>
      <c r="K25" s="86" t="str">
        <f>'1'!A81</f>
        <v>통안DC019-1217-1820</v>
      </c>
      <c r="L25" s="185">
        <f>'1'!D81</f>
        <v>43816</v>
      </c>
      <c r="M25" s="105" t="str">
        <f>'1'!E81</f>
        <v>화</v>
      </c>
      <c r="N25" s="84">
        <f>'1'!S81</f>
        <v>1.236</v>
      </c>
      <c r="O25" s="154">
        <f>N25-'1(t-1)'!S81</f>
        <v>2.0000000000000018E-3</v>
      </c>
      <c r="P25" s="182" t="str">
        <f>IF('1'!I81="이표고정","이표","할인")</f>
        <v>할인</v>
      </c>
      <c r="Q25" s="183">
        <f>'1'!K81</f>
        <v>1.528</v>
      </c>
      <c r="R25" s="184">
        <f>'1'!H81</f>
        <v>300000</v>
      </c>
      <c r="S25" s="122"/>
    </row>
    <row r="26" spans="1:19" ht="6.95" customHeight="1">
      <c r="A26" s="308"/>
      <c r="B26" s="14" t="s">
        <v>455</v>
      </c>
      <c r="C26" s="103">
        <f>'1'!D23</f>
        <v>46914</v>
      </c>
      <c r="D26" s="239" t="str">
        <f>'1'!E23</f>
        <v>토</v>
      </c>
      <c r="E26" s="84">
        <f>'1'!S23</f>
        <v>1.25</v>
      </c>
      <c r="F26" s="154">
        <f>'1'!S23-'1(t-1)'!S23</f>
        <v>-1.0000000000000009E-2</v>
      </c>
      <c r="G26" s="155">
        <f>'1'!H23</f>
        <v>11437000</v>
      </c>
      <c r="H26" s="281">
        <f>E24-E14</f>
        <v>3.1000000000000139E-2</v>
      </c>
      <c r="I26" s="8"/>
      <c r="J26" s="324"/>
      <c r="K26" s="86" t="str">
        <f>'1'!A82</f>
        <v>통안DC019-1203-1820</v>
      </c>
      <c r="L26" s="185">
        <f>'1'!D82</f>
        <v>43802</v>
      </c>
      <c r="M26" s="105" t="str">
        <f>'1'!E82</f>
        <v>화</v>
      </c>
      <c r="N26" s="84">
        <f>'1'!S82</f>
        <v>1.24</v>
      </c>
      <c r="O26" s="154">
        <f>N26-'1(t-1)'!S82</f>
        <v>9.9999999999988987E-4</v>
      </c>
      <c r="P26" s="182" t="str">
        <f>IF('1'!I82="이표고정","이표","할인")</f>
        <v>할인</v>
      </c>
      <c r="Q26" s="183">
        <f>'1'!K82</f>
        <v>1.607</v>
      </c>
      <c r="R26" s="184">
        <f>'1'!H82</f>
        <v>300000</v>
      </c>
      <c r="S26" s="122"/>
    </row>
    <row r="27" spans="1:19" ht="6.95" customHeight="1">
      <c r="A27" s="308"/>
      <c r="B27" s="14" t="s">
        <v>399</v>
      </c>
      <c r="C27" s="103">
        <f>'1'!D24</f>
        <v>46731</v>
      </c>
      <c r="D27" s="239" t="str">
        <f>'1'!E24</f>
        <v>금</v>
      </c>
      <c r="E27" s="84">
        <f>'1'!S24</f>
        <v>1.246</v>
      </c>
      <c r="F27" s="154">
        <f>'1'!S24-'1(t-1)'!S24</f>
        <v>-1.0000000000000009E-2</v>
      </c>
      <c r="G27" s="155">
        <f>'1'!H24</f>
        <v>11903000</v>
      </c>
      <c r="H27" s="122"/>
      <c r="I27" s="9"/>
      <c r="J27" s="324"/>
      <c r="K27" s="86" t="str">
        <f>'1'!A83</f>
        <v>통안02060-1912-02</v>
      </c>
      <c r="L27" s="185">
        <f>'1'!D83</f>
        <v>43801</v>
      </c>
      <c r="M27" s="105" t="str">
        <f>'1'!E83</f>
        <v>월</v>
      </c>
      <c r="N27" s="84">
        <f>'1'!S83</f>
        <v>1.242</v>
      </c>
      <c r="O27" s="154">
        <f>N27-'1(t-1)'!S83</f>
        <v>2.0000000000000018E-3</v>
      </c>
      <c r="P27" s="182" t="str">
        <f>IF('1'!I83="이표고정","이표","할인")</f>
        <v>이표</v>
      </c>
      <c r="Q27" s="183">
        <f>'1'!K83</f>
        <v>2.06</v>
      </c>
      <c r="R27" s="184">
        <f>'1'!H83</f>
        <v>10330000</v>
      </c>
      <c r="S27" s="122"/>
    </row>
    <row r="28" spans="1:19" ht="6.95" customHeight="1">
      <c r="A28" s="308"/>
      <c r="B28" s="14" t="s">
        <v>400</v>
      </c>
      <c r="C28" s="103">
        <f>'1'!D25</f>
        <v>46548</v>
      </c>
      <c r="D28" s="239" t="str">
        <f>'1'!E25</f>
        <v>목</v>
      </c>
      <c r="E28" s="84">
        <f>'1'!S25</f>
        <v>1.2410000000000001</v>
      </c>
      <c r="F28" s="154">
        <f>'1'!S25-'1(t-1)'!S25</f>
        <v>-8.0000000000000071E-3</v>
      </c>
      <c r="G28" s="155">
        <f>'1'!H25</f>
        <v>12572000</v>
      </c>
      <c r="H28" s="122" t="s">
        <v>357</v>
      </c>
      <c r="I28" s="8"/>
      <c r="J28" s="324"/>
      <c r="K28" s="86" t="str">
        <f>'1'!A84</f>
        <v>통안DC019-1126-0910</v>
      </c>
      <c r="L28" s="185">
        <f>'1'!D84</f>
        <v>43795</v>
      </c>
      <c r="M28" s="105" t="str">
        <f>'1'!E84</f>
        <v>화</v>
      </c>
      <c r="N28" s="84">
        <f>'1'!S84</f>
        <v>1.272</v>
      </c>
      <c r="O28" s="154">
        <f>N28-'1(t-1)'!S84</f>
        <v>0</v>
      </c>
      <c r="P28" s="182" t="str">
        <f>IF('1'!I84="이표고정","이표","할인")</f>
        <v>할인</v>
      </c>
      <c r="Q28" s="183">
        <f>'1'!K84</f>
        <v>1.266</v>
      </c>
      <c r="R28" s="184">
        <f>'1'!H84</f>
        <v>800000</v>
      </c>
      <c r="S28" s="122"/>
    </row>
    <row r="29" spans="1:19" ht="6.95" customHeight="1">
      <c r="A29" s="308"/>
      <c r="B29" s="14" t="s">
        <v>401</v>
      </c>
      <c r="C29" s="103">
        <f>'1'!D26</f>
        <v>46366</v>
      </c>
      <c r="D29" s="239" t="str">
        <f>'1'!E26</f>
        <v>목</v>
      </c>
      <c r="E29" s="84">
        <f>'1'!S26</f>
        <v>1.2370000000000001</v>
      </c>
      <c r="F29" s="154">
        <f>'1'!S26-'1(t-1)'!S26</f>
        <v>-6.9999999999998952E-3</v>
      </c>
      <c r="G29" s="155">
        <f>'1'!H26</f>
        <v>13063000</v>
      </c>
      <c r="H29" s="281">
        <f>E24-E7</f>
        <v>6.6000000000000059E-2</v>
      </c>
      <c r="I29" s="9"/>
      <c r="J29" s="324"/>
      <c r="K29" s="86" t="str">
        <f>'1'!A85</f>
        <v>통안DC019-1119-1820</v>
      </c>
      <c r="L29" s="185">
        <f>'1'!D85</f>
        <v>43788</v>
      </c>
      <c r="M29" s="105" t="str">
        <f>'1'!E85</f>
        <v>화</v>
      </c>
      <c r="N29" s="84">
        <f>'1'!S85</f>
        <v>1.258</v>
      </c>
      <c r="O29" s="154">
        <f>N29-'1(t-1)'!S85</f>
        <v>3.0000000000001137E-3</v>
      </c>
      <c r="P29" s="182" t="str">
        <f>IF('1'!I85="이표고정","이표","할인")</f>
        <v>할인</v>
      </c>
      <c r="Q29" s="183">
        <f>'1'!K85</f>
        <v>1.637</v>
      </c>
      <c r="R29" s="184">
        <f>'1'!H85</f>
        <v>300000</v>
      </c>
      <c r="S29" s="122"/>
    </row>
    <row r="30" spans="1:19" ht="6.95" customHeight="1">
      <c r="A30" s="308"/>
      <c r="B30" s="14" t="s">
        <v>402</v>
      </c>
      <c r="C30" s="103">
        <f>'1'!D27</f>
        <v>46183</v>
      </c>
      <c r="D30" s="239" t="str">
        <f>'1'!E27</f>
        <v>수</v>
      </c>
      <c r="E30" s="84">
        <f>'1'!S27</f>
        <v>1.2350000000000001</v>
      </c>
      <c r="F30" s="154">
        <f>'1'!S27-'1(t-1)'!S27</f>
        <v>-8.0000000000000071E-3</v>
      </c>
      <c r="G30" s="155">
        <f>'1'!H27</f>
        <v>12212000</v>
      </c>
      <c r="H30" s="122"/>
      <c r="I30" s="8"/>
      <c r="J30" s="324"/>
      <c r="K30" s="86" t="str">
        <f>'1'!A86</f>
        <v>통안DC019-1119-0910</v>
      </c>
      <c r="L30" s="185">
        <f>'1'!D86</f>
        <v>43788</v>
      </c>
      <c r="M30" s="105" t="str">
        <f>'1'!E86</f>
        <v>화</v>
      </c>
      <c r="N30" s="84">
        <f>'1'!S86</f>
        <v>1.258</v>
      </c>
      <c r="O30" s="154">
        <f>N30-'1(t-1)'!S86</f>
        <v>2.0000000000000018E-3</v>
      </c>
      <c r="P30" s="182" t="str">
        <f>IF('1'!I86="이표고정","이표","할인")</f>
        <v>할인</v>
      </c>
      <c r="Q30" s="183">
        <f>'1'!K86</f>
        <v>1.266</v>
      </c>
      <c r="R30" s="184">
        <f>'1'!H86</f>
        <v>900000</v>
      </c>
      <c r="S30" s="122"/>
    </row>
    <row r="31" spans="1:19" ht="6.95" customHeight="1">
      <c r="A31" s="308"/>
      <c r="B31" s="14" t="s">
        <v>403</v>
      </c>
      <c r="C31" s="103">
        <f>'1'!D28</f>
        <v>46001</v>
      </c>
      <c r="D31" s="239" t="str">
        <f>'1'!E28</f>
        <v>수</v>
      </c>
      <c r="E31" s="84">
        <f>'1'!S28</f>
        <v>1.2290000000000001</v>
      </c>
      <c r="F31" s="154">
        <f>'1'!S28-'1(t-1)'!S28</f>
        <v>-6.0000000000000053E-3</v>
      </c>
      <c r="G31" s="155">
        <f>'1'!H28</f>
        <v>12790012</v>
      </c>
      <c r="H31" s="122" t="s">
        <v>358</v>
      </c>
      <c r="I31" s="7"/>
      <c r="J31" s="324"/>
      <c r="K31" s="157" t="str">
        <f>'1'!A87</f>
        <v>통안DC019-1112-0910</v>
      </c>
      <c r="L31" s="186">
        <f>'1'!D87</f>
        <v>43781</v>
      </c>
      <c r="M31" s="158" t="str">
        <f>'1'!E87</f>
        <v>화</v>
      </c>
      <c r="N31" s="159">
        <f>'1'!S87</f>
        <v>1.2629999999999999</v>
      </c>
      <c r="O31" s="160">
        <f>N31-'1(t-1)'!S87</f>
        <v>2.0000000000000018E-3</v>
      </c>
      <c r="P31" s="161" t="str">
        <f>IF('1'!I87="이표고정","이표","할인")</f>
        <v>할인</v>
      </c>
      <c r="Q31" s="162">
        <f>'1'!K87</f>
        <v>1.2769999999999999</v>
      </c>
      <c r="R31" s="163">
        <f>'1'!H87</f>
        <v>900000</v>
      </c>
      <c r="S31" s="122"/>
    </row>
    <row r="32" spans="1:19" ht="6.95" customHeight="1">
      <c r="A32" s="308"/>
      <c r="B32" s="151" t="s">
        <v>404</v>
      </c>
      <c r="C32" s="103">
        <f>'1'!D29</f>
        <v>45818</v>
      </c>
      <c r="D32" s="239" t="str">
        <f>'1'!E29</f>
        <v>화</v>
      </c>
      <c r="E32" s="84">
        <f>'1'!S29</f>
        <v>1.224</v>
      </c>
      <c r="F32" s="154">
        <f>'1'!S29-'1(t-1)'!S29</f>
        <v>-6.0000000000000053E-3</v>
      </c>
      <c r="G32" s="155">
        <f>'1'!H29</f>
        <v>15028000</v>
      </c>
      <c r="H32" s="215">
        <f>E24-N7</f>
        <v>4.1000000000000147E-2</v>
      </c>
      <c r="I32" s="7"/>
      <c r="J32" s="324"/>
      <c r="K32" s="86" t="str">
        <f>'1'!A88</f>
        <v>통안01870-1911-01</v>
      </c>
      <c r="L32" s="185">
        <f>'1'!D88</f>
        <v>43778</v>
      </c>
      <c r="M32" s="105" t="str">
        <f>'1'!E88</f>
        <v>토</v>
      </c>
      <c r="N32" s="84">
        <f>'1'!S88</f>
        <v>1.2629999999999999</v>
      </c>
      <c r="O32" s="154">
        <f>N32-'1(t-1)'!S88</f>
        <v>0</v>
      </c>
      <c r="P32" s="182" t="str">
        <f>IF('1'!I88="이표고정","이표","할인")</f>
        <v>이표</v>
      </c>
      <c r="Q32" s="183">
        <f>'1'!K88</f>
        <v>1.87</v>
      </c>
      <c r="R32" s="184">
        <f>'1'!H88</f>
        <v>3960000</v>
      </c>
      <c r="S32" s="122"/>
    </row>
    <row r="33" spans="1:19" ht="6.95" customHeight="1">
      <c r="A33" s="308"/>
      <c r="B33" s="14" t="s">
        <v>405</v>
      </c>
      <c r="C33" s="103">
        <f>'1'!D30</f>
        <v>45545</v>
      </c>
      <c r="D33" s="239" t="str">
        <f>'1'!E30</f>
        <v>화</v>
      </c>
      <c r="E33" s="84">
        <f>'1'!S30</f>
        <v>1.222</v>
      </c>
      <c r="F33" s="154">
        <f>'1'!S30-'1(t-1)'!S30</f>
        <v>-3.0000000000001137E-3</v>
      </c>
      <c r="G33" s="155">
        <f>'1'!H30</f>
        <v>16366030</v>
      </c>
      <c r="H33" s="270"/>
      <c r="I33" s="7"/>
      <c r="J33" s="324"/>
      <c r="K33" s="86" t="str">
        <f>'1'!A89</f>
        <v>통안DC019-1105-1820</v>
      </c>
      <c r="L33" s="185">
        <f>'1'!D89</f>
        <v>43774</v>
      </c>
      <c r="M33" s="105" t="str">
        <f>'1'!E89</f>
        <v>화</v>
      </c>
      <c r="N33" s="84">
        <f>'1'!S89</f>
        <v>1.2749999999999999</v>
      </c>
      <c r="O33" s="154">
        <f>N33-'1(t-1)'!S89</f>
        <v>0</v>
      </c>
      <c r="P33" s="182" t="str">
        <f>IF('1'!I89="이표고정","이표","할인")</f>
        <v>할인</v>
      </c>
      <c r="Q33" s="183">
        <f>'1'!K89</f>
        <v>1.716</v>
      </c>
      <c r="R33" s="184">
        <f>'1'!H89</f>
        <v>300000</v>
      </c>
      <c r="S33" s="122"/>
    </row>
    <row r="34" spans="1:19" ht="6.95" customHeight="1">
      <c r="A34" s="308"/>
      <c r="B34" s="14" t="s">
        <v>406</v>
      </c>
      <c r="C34" s="103">
        <f>'1'!D31</f>
        <v>45361</v>
      </c>
      <c r="D34" s="239" t="str">
        <f>'1'!E31</f>
        <v>일</v>
      </c>
      <c r="E34" s="84">
        <f>'1'!S31</f>
        <v>1.222</v>
      </c>
      <c r="F34" s="154">
        <f>'1'!S31-'1(t-1)'!S31</f>
        <v>-3.0000000000001137E-3</v>
      </c>
      <c r="G34" s="155">
        <f>'1'!H31</f>
        <v>13194001</v>
      </c>
      <c r="H34" s="270"/>
      <c r="I34" s="7"/>
      <c r="J34" s="324"/>
      <c r="K34" s="86" t="str">
        <f>'1'!A90</f>
        <v>통안DC019-1105-0910</v>
      </c>
      <c r="L34" s="185">
        <f>'1'!D90</f>
        <v>43774</v>
      </c>
      <c r="M34" s="105" t="str">
        <f>'1'!E90</f>
        <v>화</v>
      </c>
      <c r="N34" s="84">
        <f>'1'!S90</f>
        <v>1.2749999999999999</v>
      </c>
      <c r="O34" s="154">
        <f>N34-'1(t-1)'!S90</f>
        <v>0</v>
      </c>
      <c r="P34" s="182" t="str">
        <f>IF('1'!I90="이표고정","이표","할인")</f>
        <v>할인</v>
      </c>
      <c r="Q34" s="183">
        <f>'1'!K90</f>
        <v>1.3360000000000001</v>
      </c>
      <c r="R34" s="184">
        <f>'1'!H90</f>
        <v>900000</v>
      </c>
      <c r="S34" s="122"/>
    </row>
    <row r="35" spans="1:19" ht="6.95" customHeight="1">
      <c r="A35" s="308"/>
      <c r="B35" s="14" t="s">
        <v>407</v>
      </c>
      <c r="C35" s="103">
        <f>'1'!D32</f>
        <v>45179</v>
      </c>
      <c r="D35" s="239" t="str">
        <f>'1'!E32</f>
        <v>일</v>
      </c>
      <c r="E35" s="84">
        <f>'1'!S32</f>
        <v>1.2150000000000001</v>
      </c>
      <c r="F35" s="154">
        <f>'1'!S32-'1(t-1)'!S32</f>
        <v>-2.9999999999998916E-3</v>
      </c>
      <c r="G35" s="155">
        <f>'1'!H32</f>
        <v>12430026</v>
      </c>
      <c r="H35" s="270"/>
      <c r="I35" s="7"/>
      <c r="J35" s="324"/>
      <c r="K35" s="86" t="str">
        <f>'1'!A91</f>
        <v>통안DC019-1029-0910</v>
      </c>
      <c r="L35" s="185">
        <f>'1'!D91</f>
        <v>43767</v>
      </c>
      <c r="M35" s="105" t="str">
        <f>'1'!E91</f>
        <v>화</v>
      </c>
      <c r="N35" s="84">
        <f>'1'!S91</f>
        <v>1.2749999999999999</v>
      </c>
      <c r="O35" s="154">
        <f>N35-'1(t-1)'!S91</f>
        <v>0</v>
      </c>
      <c r="P35" s="182" t="str">
        <f>IF('1'!I91="이표고정","이표","할인")</f>
        <v>할인</v>
      </c>
      <c r="Q35" s="183">
        <f>'1'!K91</f>
        <v>1.415</v>
      </c>
      <c r="R35" s="184">
        <f>'1'!H91</f>
        <v>700000</v>
      </c>
      <c r="S35" s="122"/>
    </row>
    <row r="36" spans="1:19" ht="6.95" customHeight="1">
      <c r="A36" s="308"/>
      <c r="B36" s="14" t="s">
        <v>408</v>
      </c>
      <c r="C36" s="103">
        <f>'1'!D33</f>
        <v>44995</v>
      </c>
      <c r="D36" s="239" t="str">
        <f>'1'!E33</f>
        <v>금</v>
      </c>
      <c r="E36" s="84">
        <f>'1'!S33</f>
        <v>1.2150000000000001</v>
      </c>
      <c r="F36" s="154">
        <f>'1'!S33-'1(t-1)'!S33</f>
        <v>-2.9999999999998916E-3</v>
      </c>
      <c r="G36" s="155">
        <f>'1'!H33</f>
        <v>12262020</v>
      </c>
      <c r="H36" s="270"/>
      <c r="I36" s="7"/>
      <c r="J36" s="324"/>
      <c r="K36" s="86" t="str">
        <f>'1'!A92</f>
        <v>통안DC019-1022-0910</v>
      </c>
      <c r="L36" s="185">
        <f>'1'!D92</f>
        <v>43760</v>
      </c>
      <c r="M36" s="105" t="str">
        <f>'1'!E92</f>
        <v>화</v>
      </c>
      <c r="N36" s="84">
        <f>'1'!S92</f>
        <v>1.2749999999999999</v>
      </c>
      <c r="O36" s="154">
        <f>N36-'1(t-1)'!S92</f>
        <v>0</v>
      </c>
      <c r="P36" s="182" t="str">
        <f>IF('1'!I92="이표고정","이표","할인")</f>
        <v>할인</v>
      </c>
      <c r="Q36" s="183">
        <f>'1'!K92</f>
        <v>1.4850000000000001</v>
      </c>
      <c r="R36" s="184">
        <f>'1'!H92</f>
        <v>800000</v>
      </c>
      <c r="S36" s="122"/>
    </row>
    <row r="37" spans="1:19" ht="6.95" customHeight="1">
      <c r="A37" s="308"/>
      <c r="B37" s="14" t="s">
        <v>409</v>
      </c>
      <c r="C37" s="103">
        <f>'1'!D34</f>
        <v>44722</v>
      </c>
      <c r="D37" s="239" t="str">
        <f>'1'!E34</f>
        <v>금</v>
      </c>
      <c r="E37" s="84">
        <f>'1'!S34</f>
        <v>1.206</v>
      </c>
      <c r="F37" s="154">
        <f>'1'!S34-'1(t-1)'!S34</f>
        <v>-4.0000000000000036E-3</v>
      </c>
      <c r="G37" s="155">
        <f>'1'!H34</f>
        <v>15281500</v>
      </c>
      <c r="H37" s="270"/>
      <c r="I37" s="7"/>
      <c r="J37" s="324"/>
      <c r="K37" s="86" t="str">
        <f>'1'!A93</f>
        <v>통안DC019-1015-1820</v>
      </c>
      <c r="L37" s="185">
        <f>'1'!D93</f>
        <v>43753</v>
      </c>
      <c r="M37" s="105" t="str">
        <f>'1'!E93</f>
        <v>화</v>
      </c>
      <c r="N37" s="84">
        <f>'1'!S93</f>
        <v>1.2749999999999999</v>
      </c>
      <c r="O37" s="154">
        <f>N37-'1(t-1)'!S93</f>
        <v>0</v>
      </c>
      <c r="P37" s="182" t="str">
        <f>IF('1'!I93="이표고정","이표","할인")</f>
        <v>할인</v>
      </c>
      <c r="Q37" s="183">
        <f>'1'!K93</f>
        <v>1.764</v>
      </c>
      <c r="R37" s="184">
        <f>'1'!H93</f>
        <v>300000</v>
      </c>
      <c r="S37" s="122"/>
    </row>
    <row r="38" spans="1:19" ht="6.95" customHeight="1">
      <c r="A38" s="308"/>
      <c r="B38" s="14" t="s">
        <v>410</v>
      </c>
      <c r="C38" s="103">
        <f>'1'!D35</f>
        <v>44357</v>
      </c>
      <c r="D38" s="239" t="str">
        <f>'1'!E35</f>
        <v>목</v>
      </c>
      <c r="E38" s="84">
        <f>'1'!S35</f>
        <v>1.179</v>
      </c>
      <c r="F38" s="154">
        <f>'1'!S35-'1(t-1)'!S35</f>
        <v>-2.9999999999998916E-3</v>
      </c>
      <c r="G38" s="155">
        <f>'1'!H35</f>
        <v>17285959</v>
      </c>
      <c r="H38" s="270"/>
      <c r="I38" s="7"/>
      <c r="J38" s="324"/>
      <c r="K38" s="86" t="str">
        <f>'1'!A94</f>
        <v>통안DC019-1015-0910</v>
      </c>
      <c r="L38" s="185">
        <f>'1'!D94</f>
        <v>43753</v>
      </c>
      <c r="M38" s="105" t="str">
        <f>'1'!E94</f>
        <v>화</v>
      </c>
      <c r="N38" s="84">
        <f>'1'!S94</f>
        <v>1.2749999999999999</v>
      </c>
      <c r="O38" s="154">
        <f>N38-'1(t-1)'!S94</f>
        <v>0</v>
      </c>
      <c r="P38" s="182" t="str">
        <f>IF('1'!I94="이표고정","이표","할인")</f>
        <v>할인</v>
      </c>
      <c r="Q38" s="183">
        <f>'1'!K94</f>
        <v>1.5149999999999999</v>
      </c>
      <c r="R38" s="184">
        <f>'1'!H94</f>
        <v>770000</v>
      </c>
      <c r="S38" s="122"/>
    </row>
    <row r="39" spans="1:19" ht="6.95" customHeight="1">
      <c r="A39" s="308"/>
      <c r="B39" s="228" t="s">
        <v>439</v>
      </c>
      <c r="C39" s="188">
        <f>'1'!D36</f>
        <v>43992</v>
      </c>
      <c r="D39" s="243" t="str">
        <f>'1'!E36</f>
        <v>수</v>
      </c>
      <c r="E39" s="118">
        <f>'1'!S36</f>
        <v>1.0780000000000001</v>
      </c>
      <c r="F39" s="190">
        <f>'1'!S36-'1(t-1)'!S36</f>
        <v>1.0000000000001119E-3</v>
      </c>
      <c r="G39" s="191">
        <f>'1'!H36</f>
        <v>11863000</v>
      </c>
      <c r="H39" s="271"/>
      <c r="I39" s="7"/>
      <c r="J39" s="324"/>
      <c r="K39" s="86" t="str">
        <f>'1'!A95</f>
        <v>통안DC019-1008-0910</v>
      </c>
      <c r="L39" s="185">
        <f>'1'!D95</f>
        <v>43746</v>
      </c>
      <c r="M39" s="105" t="str">
        <f>'1'!E95</f>
        <v>화</v>
      </c>
      <c r="N39" s="84">
        <f>'1'!S95</f>
        <v>1.2749999999999999</v>
      </c>
      <c r="O39" s="154">
        <f>N39-'1(t-1)'!S95</f>
        <v>0</v>
      </c>
      <c r="P39" s="182" t="str">
        <f>IF('1'!I95="이표고정","이표","할인")</f>
        <v>할인</v>
      </c>
      <c r="Q39" s="183">
        <f>'1'!K95</f>
        <v>1.534</v>
      </c>
      <c r="R39" s="184">
        <f>'1'!H95</f>
        <v>900000</v>
      </c>
      <c r="S39" s="122"/>
    </row>
    <row r="40" spans="1:19" ht="6.95" customHeight="1">
      <c r="A40" s="307"/>
      <c r="B40" s="273" t="s">
        <v>537</v>
      </c>
      <c r="C40" s="274">
        <f>'1'!D37</f>
        <v>46914</v>
      </c>
      <c r="D40" s="275" t="str">
        <f>'1'!E37</f>
        <v>토</v>
      </c>
      <c r="E40" s="276">
        <f>'1'!S37</f>
        <v>0.63</v>
      </c>
      <c r="F40" s="277">
        <f>'1'!S37-'1(t-1)'!S37</f>
        <v>-1.5000000000000013E-2</v>
      </c>
      <c r="G40" s="278">
        <f>'1'!H37</f>
        <v>1461000</v>
      </c>
      <c r="H40" s="269"/>
      <c r="I40" s="7"/>
      <c r="J40" s="324"/>
      <c r="K40" s="86" t="str">
        <f>'1'!A96</f>
        <v>통안01850-1910-02</v>
      </c>
      <c r="L40" s="185">
        <f>'1'!D96</f>
        <v>43740</v>
      </c>
      <c r="M40" s="105" t="str">
        <f>'1'!E96</f>
        <v>수</v>
      </c>
      <c r="N40" s="84">
        <f>'1'!S96</f>
        <v>1.2749999999999999</v>
      </c>
      <c r="O40" s="154">
        <f>N40-'1(t-1)'!S96</f>
        <v>0</v>
      </c>
      <c r="P40" s="182" t="str">
        <f>IF('1'!I96="이표고정","이표","할인")</f>
        <v>이표</v>
      </c>
      <c r="Q40" s="183">
        <f>'1'!K96</f>
        <v>1.85</v>
      </c>
      <c r="R40" s="184">
        <f>'1'!H96</f>
        <v>8310000</v>
      </c>
      <c r="S40" s="122"/>
    </row>
    <row r="41" spans="1:19" ht="6.95" customHeight="1">
      <c r="A41" s="308"/>
      <c r="B41" s="14" t="s">
        <v>411</v>
      </c>
      <c r="C41" s="103">
        <f>'1'!D38</f>
        <v>46183</v>
      </c>
      <c r="D41" s="239" t="str">
        <f>'1'!E38</f>
        <v>수</v>
      </c>
      <c r="E41" s="84">
        <f>'1'!S38</f>
        <v>0.40699999999999997</v>
      </c>
      <c r="F41" s="154">
        <f>'1'!S38-'1(t-1)'!S38</f>
        <v>-1.2000000000000011E-2</v>
      </c>
      <c r="G41" s="155">
        <f>'1'!H38</f>
        <v>2918020</v>
      </c>
      <c r="H41" s="97"/>
      <c r="I41" s="7"/>
      <c r="J41" s="324"/>
      <c r="K41" s="86" t="str">
        <f>'1'!A97</f>
        <v>통안DC019-1001-1820</v>
      </c>
      <c r="L41" s="185">
        <f>'1'!D97</f>
        <v>43739</v>
      </c>
      <c r="M41" s="105" t="str">
        <f>'1'!E97</f>
        <v>화</v>
      </c>
      <c r="N41" s="84">
        <f>'1'!S97</f>
        <v>1.2749999999999999</v>
      </c>
      <c r="O41" s="154">
        <f>N41-'1(t-1)'!S97</f>
        <v>0</v>
      </c>
      <c r="P41" s="182" t="str">
        <f>IF('1'!I97="이표고정","이표","할인")</f>
        <v>할인</v>
      </c>
      <c r="Q41" s="183">
        <f>'1'!K97</f>
        <v>1.784</v>
      </c>
      <c r="R41" s="184">
        <f>'1'!H97</f>
        <v>310000</v>
      </c>
      <c r="S41" s="122"/>
    </row>
    <row r="42" spans="1:19" ht="6.95" customHeight="1">
      <c r="A42" s="308"/>
      <c r="B42" s="14" t="s">
        <v>412</v>
      </c>
      <c r="C42" s="103">
        <f>'1'!D39</f>
        <v>45818</v>
      </c>
      <c r="D42" s="239" t="str">
        <f>'1'!E39</f>
        <v>화</v>
      </c>
      <c r="E42" s="84">
        <f>'1'!S39</f>
        <v>0.27300000000000002</v>
      </c>
      <c r="F42" s="154">
        <f>'1'!S39-'1(t-1)'!S39</f>
        <v>-1.1999999999999955E-2</v>
      </c>
      <c r="G42" s="155">
        <f>'1'!H39</f>
        <v>683030</v>
      </c>
      <c r="H42" s="97"/>
      <c r="I42" s="7"/>
      <c r="J42" s="324"/>
      <c r="K42" s="86" t="str">
        <f>'1'!A98</f>
        <v>통안DC019-1001-0910</v>
      </c>
      <c r="L42" s="185">
        <f>'1'!D98</f>
        <v>43739</v>
      </c>
      <c r="M42" s="105" t="str">
        <f>'1'!E98</f>
        <v>화</v>
      </c>
      <c r="N42" s="84">
        <f>'1'!S98</f>
        <v>1.2749999999999999</v>
      </c>
      <c r="O42" s="154">
        <f>N42-'1(t-1)'!S98</f>
        <v>0</v>
      </c>
      <c r="P42" s="182" t="str">
        <f>IF('1'!I98="이표고정","이표","할인")</f>
        <v>할인</v>
      </c>
      <c r="Q42" s="183">
        <f>'1'!K98</f>
        <v>1.5740000000000001</v>
      </c>
      <c r="R42" s="184">
        <f>'1'!H98</f>
        <v>900000</v>
      </c>
      <c r="S42" s="122"/>
    </row>
    <row r="43" spans="1:19" ht="6.95" customHeight="1">
      <c r="A43" s="308"/>
      <c r="B43" s="151" t="s">
        <v>413</v>
      </c>
      <c r="C43" s="103">
        <f>'1'!D40</f>
        <v>45087</v>
      </c>
      <c r="D43" s="239" t="str">
        <f>'1'!E40</f>
        <v>토</v>
      </c>
      <c r="E43" s="84">
        <f>'1'!S40</f>
        <v>0.18099999999999999</v>
      </c>
      <c r="F43" s="154">
        <f>'1'!S40-'1(t-1)'!S40</f>
        <v>-1.3000000000000012E-2</v>
      </c>
      <c r="G43" s="155">
        <f>'1'!H40</f>
        <v>679312</v>
      </c>
      <c r="H43" s="270"/>
      <c r="I43" s="7"/>
      <c r="J43" s="324"/>
      <c r="K43" s="86" t="str">
        <f>'1'!A99</f>
        <v>통안DC019-0924-0910</v>
      </c>
      <c r="L43" s="185">
        <f>'1'!D99</f>
        <v>43732</v>
      </c>
      <c r="M43" s="105" t="str">
        <f>'1'!E99</f>
        <v>화</v>
      </c>
      <c r="N43" s="84">
        <f>'1'!S99</f>
        <v>1.2749999999999999</v>
      </c>
      <c r="O43" s="154">
        <f>N43-'1(t-1)'!S99</f>
        <v>0</v>
      </c>
      <c r="P43" s="182" t="str">
        <f>IF('1'!I99="이표고정","이표","할인")</f>
        <v>할인</v>
      </c>
      <c r="Q43" s="183">
        <f>'1'!K99</f>
        <v>1.5640000000000001</v>
      </c>
      <c r="R43" s="184">
        <f>'1'!H99</f>
        <v>600000</v>
      </c>
      <c r="S43" s="122"/>
    </row>
    <row r="44" spans="1:19" ht="6.75" customHeight="1">
      <c r="A44" s="308"/>
      <c r="B44" s="152" t="s">
        <v>414</v>
      </c>
      <c r="C44" s="103">
        <f>'1'!D41</f>
        <v>44357</v>
      </c>
      <c r="D44" s="239" t="str">
        <f>'1'!E41</f>
        <v>목</v>
      </c>
      <c r="E44" s="84">
        <f>'1'!S41</f>
        <v>0.13300000000000001</v>
      </c>
      <c r="F44" s="154">
        <f>'1'!S41-'1(t-1)'!S41</f>
        <v>-3.2000000000000001E-2</v>
      </c>
      <c r="G44" s="155">
        <f>'1'!H41</f>
        <v>2753051</v>
      </c>
      <c r="H44" s="122"/>
      <c r="I44" s="7"/>
      <c r="J44" s="324"/>
      <c r="K44" s="86" t="str">
        <f>'1'!A100</f>
        <v>통안DC019-0917-1820</v>
      </c>
      <c r="L44" s="185">
        <f>'1'!D100</f>
        <v>43725</v>
      </c>
      <c r="M44" s="105" t="str">
        <f>'1'!E100</f>
        <v>화</v>
      </c>
      <c r="N44" s="84">
        <f>'1'!S100</f>
        <v>1.2749999999999999</v>
      </c>
      <c r="O44" s="154">
        <f>N44-'1(t-1)'!S100</f>
        <v>0</v>
      </c>
      <c r="P44" s="182" t="str">
        <f>IF('1'!I100="이표고정","이표","할인")</f>
        <v>할인</v>
      </c>
      <c r="Q44" s="183">
        <f>'1'!K100</f>
        <v>1.794</v>
      </c>
      <c r="R44" s="184">
        <f>'1'!H100</f>
        <v>250000</v>
      </c>
      <c r="S44" s="122"/>
    </row>
    <row r="45" spans="1:19" ht="6.75" customHeight="1">
      <c r="A45" s="309"/>
      <c r="B45" s="153" t="s">
        <v>415</v>
      </c>
      <c r="C45" s="237">
        <f>'1'!D42</f>
        <v>43992</v>
      </c>
      <c r="D45" s="240" t="str">
        <f>'1'!E42</f>
        <v>수</v>
      </c>
      <c r="E45" s="85">
        <f>'1'!S42</f>
        <v>5.2999999999999999E-2</v>
      </c>
      <c r="F45" s="241">
        <f>'1'!S42-'1(t-1)'!S42</f>
        <v>-3.0000000000000027E-3</v>
      </c>
      <c r="G45" s="238">
        <f>'1'!H42</f>
        <v>943000</v>
      </c>
      <c r="H45" s="263"/>
      <c r="I45" s="8"/>
      <c r="J45" s="324"/>
      <c r="K45" s="86" t="str">
        <f>'1'!A101</f>
        <v>통안DC019-0917-0910</v>
      </c>
      <c r="L45" s="185">
        <f>'1'!D101</f>
        <v>43725</v>
      </c>
      <c r="M45" s="105" t="str">
        <f>'1'!E101</f>
        <v>화</v>
      </c>
      <c r="N45" s="84">
        <f>'1'!S101</f>
        <v>1.2749999999999999</v>
      </c>
      <c r="O45" s="154">
        <f>N45-'1(t-1)'!S101</f>
        <v>0</v>
      </c>
      <c r="P45" s="182" t="str">
        <f>IF('1'!I101="이표고정","이표","할인")</f>
        <v>할인</v>
      </c>
      <c r="Q45" s="183">
        <f>'1'!K101</f>
        <v>1.534</v>
      </c>
      <c r="R45" s="184">
        <f>'1'!H101</f>
        <v>800000</v>
      </c>
      <c r="S45" s="122"/>
    </row>
    <row r="46" spans="1:19" ht="6.75" customHeight="1">
      <c r="A46" s="307" t="s">
        <v>273</v>
      </c>
      <c r="B46" s="244" t="s">
        <v>585</v>
      </c>
      <c r="C46" s="236">
        <f>'1'!D43</f>
        <v>51023</v>
      </c>
      <c r="D46" s="224" t="str">
        <f>'1'!E43</f>
        <v>토</v>
      </c>
      <c r="E46" s="135">
        <f>'1'!S43</f>
        <v>1.2350000000000001</v>
      </c>
      <c r="F46" s="225">
        <f>'1'!S43-'1(t-1)'!S43</f>
        <v>-1.4999999999999902E-2</v>
      </c>
      <c r="G46" s="226">
        <f>'1'!H43</f>
        <v>200000</v>
      </c>
      <c r="H46" s="136"/>
      <c r="I46" s="8"/>
      <c r="J46" s="324"/>
      <c r="K46" s="86" t="str">
        <f>'1'!A102</f>
        <v>통안DC019-0910-0910</v>
      </c>
      <c r="L46" s="185">
        <f>'1'!D102</f>
        <v>43718</v>
      </c>
      <c r="M46" s="105" t="str">
        <f>'1'!E102</f>
        <v>화</v>
      </c>
      <c r="N46" s="84">
        <f>'1'!S102</f>
        <v>1.2749999999999999</v>
      </c>
      <c r="O46" s="154">
        <f>N46-'1(t-1)'!S102</f>
        <v>0</v>
      </c>
      <c r="P46" s="182" t="str">
        <f>IF('1'!I102="이표고정","이표","할인")</f>
        <v>할인</v>
      </c>
      <c r="Q46" s="183">
        <f>'1'!K102</f>
        <v>1.5940000000000001</v>
      </c>
      <c r="R46" s="184">
        <f>'1'!H102</f>
        <v>800000</v>
      </c>
      <c r="S46" s="122"/>
    </row>
    <row r="47" spans="1:19" ht="6.95" customHeight="1">
      <c r="A47" s="308"/>
      <c r="B47" s="302" t="s">
        <v>538</v>
      </c>
      <c r="C47" s="303">
        <f>'1'!D44</f>
        <v>50658</v>
      </c>
      <c r="D47" s="304" t="str">
        <f>'1'!E44</f>
        <v>금</v>
      </c>
      <c r="E47" s="159">
        <f>'1'!S44</f>
        <v>1.25</v>
      </c>
      <c r="F47" s="160">
        <f>'1'!S44-'1(t-1)'!S44</f>
        <v>-1.4999999999999902E-2</v>
      </c>
      <c r="G47" s="305">
        <f>'1'!H44</f>
        <v>8221000</v>
      </c>
      <c r="H47" s="122" t="s">
        <v>359</v>
      </c>
      <c r="I47" s="8"/>
      <c r="J47" s="324"/>
      <c r="K47" s="86" t="str">
        <f>'1'!A103</f>
        <v>통안01800-1909-01</v>
      </c>
      <c r="L47" s="185">
        <f>'1'!D103</f>
        <v>43717</v>
      </c>
      <c r="M47" s="105" t="str">
        <f>'1'!E103</f>
        <v>월</v>
      </c>
      <c r="N47" s="84">
        <f>'1'!S103</f>
        <v>1.2749999999999999</v>
      </c>
      <c r="O47" s="154">
        <f>N47-'1(t-1)'!S103</f>
        <v>0</v>
      </c>
      <c r="P47" s="182" t="str">
        <f>IF('1'!I103="이표고정","이표","할인")</f>
        <v>이표</v>
      </c>
      <c r="Q47" s="183">
        <f>'1'!K103</f>
        <v>1.8</v>
      </c>
      <c r="R47" s="184">
        <f>'1'!H103</f>
        <v>5720000</v>
      </c>
      <c r="S47" s="166"/>
    </row>
    <row r="48" spans="1:19" ht="6.95" customHeight="1">
      <c r="A48" s="308"/>
      <c r="B48" s="14" t="s">
        <v>388</v>
      </c>
      <c r="C48" s="188">
        <f>'1'!D45</f>
        <v>50293</v>
      </c>
      <c r="D48" s="243" t="str">
        <f>'1'!E45</f>
        <v>목</v>
      </c>
      <c r="E48" s="118">
        <f>'1'!S45</f>
        <v>1.2549999999999999</v>
      </c>
      <c r="F48" s="190">
        <f>'1'!S45-'1(t-1)'!S45</f>
        <v>-1.5000000000000124E-2</v>
      </c>
      <c r="G48" s="191">
        <f>'1'!H45</f>
        <v>9556000</v>
      </c>
      <c r="H48" s="215">
        <f>E47-E24</f>
        <v>8.999999999999897E-3</v>
      </c>
      <c r="I48" s="9"/>
      <c r="J48" s="324"/>
      <c r="K48" s="86" t="str">
        <f>'1'!A104</f>
        <v>통안DC019-0903-1820</v>
      </c>
      <c r="L48" s="185">
        <f>'1'!D104</f>
        <v>43711</v>
      </c>
      <c r="M48" s="105" t="str">
        <f>'1'!E104</f>
        <v>화</v>
      </c>
      <c r="N48" s="84">
        <f>'1'!S104</f>
        <v>1.2749999999999999</v>
      </c>
      <c r="O48" s="154">
        <f>N48-'1(t-1)'!S104</f>
        <v>0</v>
      </c>
      <c r="P48" s="182" t="str">
        <f>IF('1'!I104="이표고정","이표","할인")</f>
        <v>할인</v>
      </c>
      <c r="Q48" s="183">
        <f>'1'!K104</f>
        <v>1.8029999999999999</v>
      </c>
      <c r="R48" s="184">
        <f>'1'!H104</f>
        <v>370000</v>
      </c>
      <c r="S48" s="166"/>
    </row>
    <row r="49" spans="1:20" ht="6.95" customHeight="1">
      <c r="A49" s="308"/>
      <c r="B49" s="152" t="s">
        <v>387</v>
      </c>
      <c r="C49" s="103">
        <f>'1'!D46</f>
        <v>49928</v>
      </c>
      <c r="D49" s="239" t="str">
        <f>'1'!E46</f>
        <v>수</v>
      </c>
      <c r="E49" s="84">
        <f>'1'!S46</f>
        <v>1.248</v>
      </c>
      <c r="F49" s="154">
        <f>'1'!S46-'1(t-1)'!S46</f>
        <v>-1.4999999999999902E-2</v>
      </c>
      <c r="G49" s="155">
        <f>'1'!H46</f>
        <v>9793000</v>
      </c>
      <c r="H49" s="272"/>
      <c r="I49" s="8"/>
      <c r="J49" s="324"/>
      <c r="K49" s="86" t="str">
        <f>'1'!A105</f>
        <v>통안DC019-0903-0910</v>
      </c>
      <c r="L49" s="185">
        <f>'1'!D105</f>
        <v>43711</v>
      </c>
      <c r="M49" s="105" t="str">
        <f>'1'!E105</f>
        <v>화</v>
      </c>
      <c r="N49" s="84">
        <f>'1'!S105</f>
        <v>1.2749999999999999</v>
      </c>
      <c r="O49" s="154">
        <f>N49-'1(t-1)'!S105</f>
        <v>0</v>
      </c>
      <c r="P49" s="182" t="str">
        <f>IF('1'!I105="이표고정","이표","할인")</f>
        <v>할인</v>
      </c>
      <c r="Q49" s="183">
        <f>'1'!K105</f>
        <v>1.6140000000000001</v>
      </c>
      <c r="R49" s="184">
        <f>'1'!H105</f>
        <v>800000</v>
      </c>
      <c r="S49" s="167"/>
    </row>
    <row r="50" spans="1:20" ht="6.95" customHeight="1">
      <c r="A50" s="308"/>
      <c r="B50" s="151" t="s">
        <v>386</v>
      </c>
      <c r="C50" s="103">
        <f>'1'!D47</f>
        <v>49562</v>
      </c>
      <c r="D50" s="239" t="str">
        <f>'1'!E47</f>
        <v>월</v>
      </c>
      <c r="E50" s="84">
        <f>'1'!S47</f>
        <v>1.2450000000000001</v>
      </c>
      <c r="F50" s="154">
        <f>'1'!S47-'1(t-1)'!S47</f>
        <v>-1.2999999999999901E-2</v>
      </c>
      <c r="G50" s="155">
        <f>'1'!H47</f>
        <v>12359092</v>
      </c>
      <c r="H50" s="272"/>
      <c r="I50" s="8"/>
      <c r="J50" s="324"/>
      <c r="K50" s="86"/>
      <c r="L50" s="185"/>
      <c r="M50" s="105"/>
      <c r="N50" s="84"/>
      <c r="O50" s="154"/>
      <c r="P50" s="182"/>
      <c r="Q50" s="183"/>
      <c r="R50" s="184"/>
      <c r="S50" s="167"/>
    </row>
    <row r="51" spans="1:20" ht="6.95" customHeight="1">
      <c r="A51" s="308"/>
      <c r="B51" s="152" t="s">
        <v>385</v>
      </c>
      <c r="C51" s="103">
        <f>'1'!D48</f>
        <v>48923</v>
      </c>
      <c r="D51" s="239" t="str">
        <f>'1'!E48</f>
        <v>토</v>
      </c>
      <c r="E51" s="84">
        <f>'1'!S48</f>
        <v>1.2430000000000001</v>
      </c>
      <c r="F51" s="154">
        <f>'1'!S48-'1(t-1)'!S48</f>
        <v>-1.0999999999999899E-2</v>
      </c>
      <c r="G51" s="155">
        <f>'1'!H48</f>
        <v>17673540</v>
      </c>
      <c r="H51" s="165"/>
      <c r="I51" s="8"/>
      <c r="J51" s="324"/>
      <c r="K51" s="86"/>
      <c r="L51" s="185"/>
      <c r="M51" s="105"/>
      <c r="N51" s="84"/>
      <c r="O51" s="154"/>
      <c r="P51" s="182"/>
      <c r="Q51" s="183"/>
      <c r="R51" s="184"/>
      <c r="S51" s="167"/>
    </row>
    <row r="52" spans="1:20" ht="6.95" customHeight="1">
      <c r="A52" s="308"/>
      <c r="B52" s="152" t="s">
        <v>384</v>
      </c>
      <c r="C52" s="103">
        <f>'1'!D49</f>
        <v>48192</v>
      </c>
      <c r="D52" s="239" t="str">
        <f>'1'!E49</f>
        <v>수</v>
      </c>
      <c r="E52" s="84">
        <f>'1'!S49</f>
        <v>1.2430000000000001</v>
      </c>
      <c r="F52" s="154">
        <f>'1'!S49-'1(t-1)'!S49</f>
        <v>-1.1999999999999789E-2</v>
      </c>
      <c r="G52" s="155">
        <f>'1'!H49</f>
        <v>19863560</v>
      </c>
      <c r="H52" s="122"/>
      <c r="I52" s="8"/>
      <c r="J52" s="324"/>
      <c r="K52" s="86"/>
      <c r="L52" s="185"/>
      <c r="M52" s="105"/>
      <c r="N52" s="84"/>
      <c r="O52" s="154"/>
      <c r="P52" s="182"/>
      <c r="Q52" s="183"/>
      <c r="R52" s="184"/>
      <c r="S52" s="167"/>
    </row>
    <row r="53" spans="1:20" ht="6.95" customHeight="1">
      <c r="A53" s="308"/>
      <c r="B53" s="152" t="s">
        <v>383</v>
      </c>
      <c r="C53" s="103">
        <f>'1'!D50</f>
        <v>47827</v>
      </c>
      <c r="D53" s="239" t="str">
        <f>'1'!E50</f>
        <v>화</v>
      </c>
      <c r="E53" s="84">
        <f>'1'!S50</f>
        <v>1.242</v>
      </c>
      <c r="F53" s="154">
        <f>'1'!S50-'1(t-1)'!S50</f>
        <v>-1.0000000000000009E-2</v>
      </c>
      <c r="G53" s="155">
        <f>'1'!H50</f>
        <v>11258300</v>
      </c>
      <c r="H53" s="122"/>
      <c r="I53" s="8"/>
      <c r="J53" s="324"/>
      <c r="K53" s="86"/>
      <c r="L53" s="185"/>
      <c r="M53" s="105"/>
      <c r="N53" s="84"/>
      <c r="O53" s="154"/>
      <c r="P53" s="182"/>
      <c r="Q53" s="183"/>
      <c r="R53" s="184"/>
      <c r="S53" s="167"/>
    </row>
    <row r="54" spans="1:20" ht="6.95" customHeight="1">
      <c r="A54" s="308"/>
      <c r="B54" s="152" t="s">
        <v>173</v>
      </c>
      <c r="C54" s="103">
        <f>'1'!D51</f>
        <v>47462</v>
      </c>
      <c r="D54" s="239" t="str">
        <f>'1'!E51</f>
        <v>월</v>
      </c>
      <c r="E54" s="84">
        <f>'1'!S51</f>
        <v>1.24</v>
      </c>
      <c r="F54" s="154">
        <f>'1'!S51-'1(t-1)'!S51</f>
        <v>-1.0000000000000009E-2</v>
      </c>
      <c r="G54" s="155">
        <f>'1'!H51</f>
        <v>11103300</v>
      </c>
      <c r="H54" s="122"/>
      <c r="I54" s="12"/>
      <c r="J54" s="324"/>
      <c r="K54" s="86"/>
      <c r="L54" s="185"/>
      <c r="M54" s="105"/>
      <c r="N54" s="84"/>
      <c r="O54" s="154"/>
      <c r="P54" s="182"/>
      <c r="Q54" s="183"/>
      <c r="R54" s="184"/>
      <c r="S54" s="167"/>
      <c r="T54"/>
    </row>
    <row r="55" spans="1:20" ht="7.5" customHeight="1">
      <c r="A55" s="308"/>
      <c r="B55" s="152" t="s">
        <v>174</v>
      </c>
      <c r="C55" s="103">
        <f>'1'!D52</f>
        <v>46822</v>
      </c>
      <c r="D55" s="239" t="str">
        <f>'1'!E52</f>
        <v>금</v>
      </c>
      <c r="E55" s="84">
        <f>'1'!S52</f>
        <v>1.25</v>
      </c>
      <c r="F55" s="154">
        <f>'1'!S52-'1(t-1)'!S52</f>
        <v>-1.0000000000000009E-2</v>
      </c>
      <c r="G55" s="155">
        <f>'1'!H52</f>
        <v>10927000</v>
      </c>
      <c r="H55" s="122"/>
      <c r="I55" s="12"/>
      <c r="J55" s="325"/>
      <c r="K55" s="98"/>
      <c r="L55" s="104"/>
      <c r="M55" s="106"/>
      <c r="N55" s="85"/>
      <c r="O55" s="99"/>
      <c r="P55" s="169"/>
      <c r="Q55" s="170"/>
      <c r="R55" s="171"/>
      <c r="S55" s="206"/>
      <c r="T55"/>
    </row>
    <row r="56" spans="1:20" ht="7.5" customHeight="1">
      <c r="A56" s="308"/>
      <c r="B56" s="152" t="s">
        <v>382</v>
      </c>
      <c r="C56" s="103">
        <f>'1'!D53</f>
        <v>46456</v>
      </c>
      <c r="D56" s="239" t="str">
        <f>'1'!E53</f>
        <v>수</v>
      </c>
      <c r="E56" s="84">
        <f>'1'!S53</f>
        <v>1.2390000000000001</v>
      </c>
      <c r="F56" s="154">
        <f>'1'!S53-'1(t-1)'!S53</f>
        <v>-8.0000000000000071E-3</v>
      </c>
      <c r="G56" s="155">
        <f>'1'!H53</f>
        <v>5181000</v>
      </c>
      <c r="H56" s="247"/>
      <c r="I56" s="12"/>
      <c r="J56" s="131"/>
      <c r="K56" s="12"/>
      <c r="L56" s="13"/>
      <c r="M56" s="49"/>
      <c r="N56" s="49"/>
      <c r="O56" s="12"/>
      <c r="P56" s="12"/>
      <c r="Q56" s="73"/>
      <c r="R56" s="31"/>
      <c r="S56" s="32"/>
      <c r="T56"/>
    </row>
    <row r="57" spans="1:20" ht="7.5" customHeight="1">
      <c r="A57" s="309"/>
      <c r="B57" s="242" t="s">
        <v>416</v>
      </c>
      <c r="C57" s="287">
        <f>'1'!D54</f>
        <v>46091</v>
      </c>
      <c r="D57" s="288" t="str">
        <f>'1'!E54</f>
        <v>화</v>
      </c>
      <c r="E57" s="289">
        <f>'1'!S54</f>
        <v>1.23</v>
      </c>
      <c r="F57" s="290">
        <f>'1'!S54-'1(t-1)'!S54</f>
        <v>-8.0000000000000071E-3</v>
      </c>
      <c r="G57" s="291">
        <f>'1'!H54</f>
        <v>6649210</v>
      </c>
      <c r="H57" s="247"/>
      <c r="I57" s="12"/>
      <c r="J57" s="12"/>
      <c r="K57" s="12"/>
      <c r="L57" s="13"/>
      <c r="M57" s="49"/>
      <c r="N57" s="49"/>
      <c r="O57" s="12"/>
      <c r="P57" s="12"/>
      <c r="Q57" s="73"/>
      <c r="R57" s="31"/>
      <c r="S57" s="32"/>
      <c r="T57"/>
    </row>
    <row r="58" spans="1:20" ht="6.95" customHeight="1">
      <c r="A58" s="307" t="s">
        <v>272</v>
      </c>
      <c r="B58" s="273" t="s">
        <v>539</v>
      </c>
      <c r="C58" s="274">
        <f>'1'!D55</f>
        <v>54492</v>
      </c>
      <c r="D58" s="275" t="str">
        <f>'1'!E55</f>
        <v>수</v>
      </c>
      <c r="E58" s="276">
        <f>'1'!S55</f>
        <v>1.25</v>
      </c>
      <c r="F58" s="277">
        <f>'1'!S55-'1(t-1)'!S55</f>
        <v>-1.6999999999999904E-2</v>
      </c>
      <c r="G58" s="278">
        <f>'1'!H55</f>
        <v>16187014</v>
      </c>
      <c r="H58" s="301"/>
      <c r="I58" s="12"/>
      <c r="J58" s="12"/>
      <c r="K58" s="12"/>
      <c r="L58" s="13"/>
      <c r="M58" s="49"/>
      <c r="N58" s="49"/>
      <c r="O58" s="12"/>
      <c r="P58" s="12"/>
      <c r="Q58" s="73"/>
      <c r="R58" s="31"/>
      <c r="S58" s="32"/>
      <c r="T58"/>
    </row>
    <row r="59" spans="1:20" ht="6.95" customHeight="1">
      <c r="A59" s="308"/>
      <c r="B59" s="213" t="s">
        <v>468</v>
      </c>
      <c r="C59" s="103">
        <f>'1'!D56</f>
        <v>54127</v>
      </c>
      <c r="D59" s="239" t="str">
        <f>'1'!E56</f>
        <v>화</v>
      </c>
      <c r="E59" s="84">
        <f>'1'!S56</f>
        <v>1.252</v>
      </c>
      <c r="F59" s="154">
        <f>'1'!S56-'1(t-1)'!S56</f>
        <v>-1.8000000000000016E-2</v>
      </c>
      <c r="G59" s="155">
        <f>'1'!H56</f>
        <v>22902000</v>
      </c>
      <c r="H59" s="96" t="s">
        <v>270</v>
      </c>
      <c r="I59" s="12"/>
      <c r="J59" s="42"/>
      <c r="K59" s="12"/>
      <c r="L59" s="13"/>
      <c r="M59" s="49"/>
      <c r="N59" s="49"/>
      <c r="O59" s="12"/>
      <c r="P59" s="12"/>
      <c r="Q59" s="73"/>
      <c r="R59" s="31"/>
      <c r="S59" s="32"/>
      <c r="T59"/>
    </row>
    <row r="60" spans="1:20" ht="6.95" customHeight="1">
      <c r="A60" s="308"/>
      <c r="B60" s="14" t="s">
        <v>339</v>
      </c>
      <c r="C60" s="103">
        <f>'1'!D57</f>
        <v>53761</v>
      </c>
      <c r="D60" s="239" t="str">
        <f>'1'!E57</f>
        <v>일</v>
      </c>
      <c r="E60" s="84">
        <f>'1'!S57</f>
        <v>1.2509999999999999</v>
      </c>
      <c r="F60" s="154">
        <f>'1'!S57-'1(t-1)'!S57</f>
        <v>-1.8000000000000016E-2</v>
      </c>
      <c r="G60" s="155">
        <f>'1'!H57</f>
        <v>21413000</v>
      </c>
      <c r="H60" s="123">
        <f>(E58-E47)</f>
        <v>0</v>
      </c>
      <c r="I60" s="12"/>
      <c r="J60" s="12"/>
      <c r="K60" s="12"/>
      <c r="L60" s="13"/>
      <c r="M60" s="49"/>
      <c r="N60" s="49"/>
      <c r="O60" s="12"/>
      <c r="P60" s="12"/>
      <c r="Q60" s="73"/>
      <c r="R60" s="31"/>
      <c r="S60" s="32"/>
      <c r="T60"/>
    </row>
    <row r="61" spans="1:20" ht="6.95" customHeight="1">
      <c r="A61" s="308"/>
      <c r="B61" s="14" t="s">
        <v>417</v>
      </c>
      <c r="C61" s="103">
        <f>'1'!D58</f>
        <v>53396</v>
      </c>
      <c r="D61" s="239" t="str">
        <f>'1'!E58</f>
        <v>토</v>
      </c>
      <c r="E61" s="84">
        <f>'1'!S58</f>
        <v>1.2509999999999999</v>
      </c>
      <c r="F61" s="154">
        <f>'1'!S58-'1(t-1)'!S58</f>
        <v>-1.8000000000000016E-2</v>
      </c>
      <c r="G61" s="155">
        <f>'1'!H58</f>
        <v>14387000</v>
      </c>
      <c r="H61" s="96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308"/>
      <c r="B62" s="151" t="s">
        <v>418</v>
      </c>
      <c r="C62" s="103">
        <f>'1'!D59</f>
        <v>52941</v>
      </c>
      <c r="D62" s="239" t="str">
        <f>'1'!E59</f>
        <v>토</v>
      </c>
      <c r="E62" s="84">
        <f>'1'!S59</f>
        <v>1.2509999999999999</v>
      </c>
      <c r="F62" s="154">
        <f>'1'!S59-'1(t-1)'!S59</f>
        <v>-1.6000000000000014E-2</v>
      </c>
      <c r="G62" s="155">
        <f>'1'!H59</f>
        <v>15083029</v>
      </c>
      <c r="H62" s="292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309"/>
      <c r="B63" s="153" t="s">
        <v>419</v>
      </c>
      <c r="C63" s="188">
        <f>'1'!D60</f>
        <v>52210</v>
      </c>
      <c r="D63" s="243" t="str">
        <f>'1'!E60</f>
        <v>수</v>
      </c>
      <c r="E63" s="118">
        <f>'1'!S60</f>
        <v>1.25</v>
      </c>
      <c r="F63" s="190">
        <f>'1'!S60-'1(t-1)'!S60</f>
        <v>-1.6000000000000014E-2</v>
      </c>
      <c r="G63" s="238">
        <f>'1'!H60</f>
        <v>20278021</v>
      </c>
      <c r="H63" s="293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316" t="s">
        <v>425</v>
      </c>
      <c r="B64" s="244" t="s">
        <v>424</v>
      </c>
      <c r="C64" s="299">
        <f>'1'!D61</f>
        <v>61616</v>
      </c>
      <c r="D64" s="224" t="str">
        <f>'1'!E61</f>
        <v>월</v>
      </c>
      <c r="E64" s="135">
        <f>'1'!S61</f>
        <v>1.27</v>
      </c>
      <c r="F64" s="225">
        <f>'1'!S61-'1(t-1)'!S61</f>
        <v>-1.8000000000000016E-2</v>
      </c>
      <c r="G64" s="226">
        <f>'1'!H61</f>
        <v>3558000</v>
      </c>
      <c r="H64" s="294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317"/>
      <c r="B65" s="153" t="s">
        <v>423</v>
      </c>
      <c r="C65" s="300">
        <f>'1'!D62</f>
        <v>60885</v>
      </c>
      <c r="D65" s="240" t="str">
        <f>'1'!E62</f>
        <v>금</v>
      </c>
      <c r="E65" s="85">
        <f>'1'!S62</f>
        <v>1.2629999999999999</v>
      </c>
      <c r="F65" s="241">
        <f>'1'!S62-'1(t-1)'!S62</f>
        <v>-1.7000000000000126E-2</v>
      </c>
      <c r="G65" s="238">
        <f>'1'!H62</f>
        <v>2184000</v>
      </c>
      <c r="H65" s="295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9"/>
      <c r="B66" s="280"/>
      <c r="C66" s="296"/>
      <c r="D66" s="297"/>
      <c r="E66" s="298"/>
      <c r="F66" s="298"/>
      <c r="G66" s="297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100" t="s">
        <v>0</v>
      </c>
      <c r="C67" s="101" t="s">
        <v>150</v>
      </c>
      <c r="D67" s="101" t="s">
        <v>2</v>
      </c>
      <c r="E67" s="102" t="s">
        <v>151</v>
      </c>
      <c r="F67" s="52" t="s">
        <v>45</v>
      </c>
      <c r="G67" s="114" t="s">
        <v>9</v>
      </c>
      <c r="H67" s="45" t="s">
        <v>193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310" t="s">
        <v>82</v>
      </c>
      <c r="B68" s="149" t="str">
        <f>'2'!A2</f>
        <v>국민주택1종19-08-2</v>
      </c>
      <c r="C68" s="145">
        <f>'2'!D2</f>
        <v>45535</v>
      </c>
      <c r="D68" s="146" t="str">
        <f>'2'!E2</f>
        <v>토</v>
      </c>
      <c r="E68" s="147">
        <f>'2'!S2</f>
        <v>1.2749999999999999</v>
      </c>
      <c r="F68" s="148">
        <f>E68-'2(t-1)'!S2</f>
        <v>-2.0000000000000018E-3</v>
      </c>
      <c r="G68" s="150">
        <f>'2'!H2</f>
        <v>1008781</v>
      </c>
      <c r="H68" s="110" t="s">
        <v>153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311"/>
      <c r="B69" s="14" t="str">
        <f>'2'!A3</f>
        <v>국민주택1종19-08</v>
      </c>
      <c r="C69" s="112">
        <f>'2'!D3</f>
        <v>45535</v>
      </c>
      <c r="D69" s="116" t="str">
        <f>'2'!E3</f>
        <v>토</v>
      </c>
      <c r="E69" s="84">
        <f>'2'!S3</f>
        <v>1.2749999999999999</v>
      </c>
      <c r="F69" s="53">
        <f>E69-'2(t-1)'!S3</f>
        <v>-2.0000000000000018E-3</v>
      </c>
      <c r="G69" s="15">
        <f>'2'!H3</f>
        <v>493819</v>
      </c>
      <c r="H69" s="107" t="s">
        <v>154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95">
        <f ca="1">TODAY()</f>
        <v>43706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311"/>
      <c r="B70" s="14" t="str">
        <f>'2'!A4</f>
        <v>국민주택1종19-07-2</v>
      </c>
      <c r="C70" s="112">
        <f>'2'!D4</f>
        <v>45504</v>
      </c>
      <c r="D70" s="116" t="str">
        <f>'2'!E4</f>
        <v>수</v>
      </c>
      <c r="E70" s="84">
        <f>'2'!S4</f>
        <v>1.2749999999999999</v>
      </c>
      <c r="F70" s="53">
        <f>E70-'2(t-1)'!S4</f>
        <v>-3.0000000000001137E-3</v>
      </c>
      <c r="G70" s="15">
        <f>'2'!H4</f>
        <v>430790</v>
      </c>
      <c r="H70" s="214">
        <f>E68-E14</f>
        <v>6.4999999999999947E-2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95">
        <f ca="1">TODAY()</f>
        <v>43706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311"/>
      <c r="B71" s="14" t="str">
        <f>'2'!A5</f>
        <v>국민주택1종19-07</v>
      </c>
      <c r="C71" s="112">
        <f>'2'!D5</f>
        <v>45504</v>
      </c>
      <c r="D71" s="116" t="str">
        <f>'2'!E5</f>
        <v>수</v>
      </c>
      <c r="E71" s="84">
        <f>'2'!S5</f>
        <v>1.2749999999999999</v>
      </c>
      <c r="F71" s="53">
        <f>E71-'2(t-1)'!S5</f>
        <v>-3.0000000000001137E-3</v>
      </c>
      <c r="G71" s="15">
        <f>'2'!H5</f>
        <v>1036789</v>
      </c>
      <c r="H71" s="108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95">
        <f ca="1">TODAY()</f>
        <v>43706</v>
      </c>
      <c r="AA71" s="28">
        <v>43706</v>
      </c>
      <c r="AB71" s="4">
        <v>43705</v>
      </c>
      <c r="AC71" s="4">
        <v>43704</v>
      </c>
      <c r="AD71" s="4">
        <v>43703</v>
      </c>
      <c r="AE71" s="4">
        <v>43700</v>
      </c>
      <c r="AF71" s="4">
        <v>43699</v>
      </c>
      <c r="AG71" s="4">
        <v>43698</v>
      </c>
      <c r="AH71" s="4">
        <v>43697</v>
      </c>
      <c r="AI71" s="4">
        <v>43696</v>
      </c>
      <c r="AJ71" s="4">
        <v>43693</v>
      </c>
      <c r="AK71" s="4">
        <v>43691</v>
      </c>
      <c r="AL71" s="4">
        <v>43690</v>
      </c>
      <c r="AM71" s="4">
        <v>43689</v>
      </c>
      <c r="AN71" s="4">
        <v>43686</v>
      </c>
      <c r="AO71" s="4">
        <v>43685</v>
      </c>
      <c r="AP71" s="4">
        <v>43684</v>
      </c>
      <c r="AQ71" s="4">
        <v>43683</v>
      </c>
      <c r="AR71" s="4">
        <v>43679</v>
      </c>
      <c r="AS71" s="4">
        <v>43678</v>
      </c>
    </row>
    <row r="72" spans="1:47" ht="6.95" customHeight="1">
      <c r="A72" s="311"/>
      <c r="B72" s="14" t="str">
        <f>'2'!A6</f>
        <v>국민주택1종19-06-2</v>
      </c>
      <c r="C72" s="112">
        <f>'2'!D6</f>
        <v>45473</v>
      </c>
      <c r="D72" s="116" t="str">
        <f>'2'!E6</f>
        <v>일</v>
      </c>
      <c r="E72" s="84">
        <f>'2'!S6</f>
        <v>1.2729999999999999</v>
      </c>
      <c r="F72" s="53">
        <f>E72-'2(t-1)'!S6</f>
        <v>-2.0000000000000018E-3</v>
      </c>
      <c r="G72" s="15">
        <f>'2'!H6</f>
        <v>1062981</v>
      </c>
      <c r="H72" s="108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163</v>
      </c>
      <c r="Z72" s="92">
        <f ca="1">TODAY()</f>
        <v>43706</v>
      </c>
      <c r="AA72" s="92">
        <v>43705</v>
      </c>
      <c r="AB72" s="92">
        <v>43704</v>
      </c>
      <c r="AC72" s="92">
        <v>43703</v>
      </c>
      <c r="AD72" s="92">
        <v>43700</v>
      </c>
      <c r="AE72" s="27">
        <v>43699</v>
      </c>
      <c r="AF72" s="27">
        <v>43698</v>
      </c>
      <c r="AG72" s="27">
        <v>43697</v>
      </c>
      <c r="AH72" s="27">
        <v>43696</v>
      </c>
      <c r="AI72" s="27">
        <v>43693</v>
      </c>
      <c r="AJ72" s="27">
        <v>43691</v>
      </c>
      <c r="AK72" s="27">
        <v>43690</v>
      </c>
      <c r="AL72" s="27">
        <v>43689</v>
      </c>
      <c r="AM72" s="27">
        <v>43686</v>
      </c>
      <c r="AN72" s="27">
        <v>43685</v>
      </c>
      <c r="AO72" s="27">
        <v>43684</v>
      </c>
      <c r="AP72" s="27">
        <v>43683</v>
      </c>
      <c r="AQ72" s="27">
        <v>43682</v>
      </c>
      <c r="AR72" s="27">
        <v>43678</v>
      </c>
      <c r="AS72" s="27">
        <v>43677</v>
      </c>
      <c r="AT72" s="4">
        <v>42261</v>
      </c>
      <c r="AU72" s="4">
        <v>42146</v>
      </c>
    </row>
    <row r="73" spans="1:47" ht="6.95" customHeight="1">
      <c r="A73" s="311"/>
      <c r="B73" s="14" t="str">
        <f>'2'!A7</f>
        <v>국민주택1종19-06</v>
      </c>
      <c r="C73" s="112">
        <f>'2'!D7</f>
        <v>45473</v>
      </c>
      <c r="D73" s="116" t="str">
        <f>'2'!E7</f>
        <v>일</v>
      </c>
      <c r="E73" s="84">
        <f>'2'!S7</f>
        <v>1.2729999999999999</v>
      </c>
      <c r="F73" s="53">
        <f>E73-'2(t-1)'!S7</f>
        <v>-2.0000000000000018E-3</v>
      </c>
      <c r="G73" s="15">
        <f>'2'!H7</f>
        <v>78726</v>
      </c>
      <c r="H73" s="109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195</v>
      </c>
      <c r="Z73" s="119">
        <f>H60+H48</f>
        <v>8.999999999999897E-3</v>
      </c>
      <c r="AA73" s="119">
        <v>1.6999999999999904E-2</v>
      </c>
      <c r="AB73" s="119">
        <v>3.0000000000000027E-2</v>
      </c>
      <c r="AC73" s="119">
        <v>8.0000000000000071E-3</v>
      </c>
      <c r="AD73" s="119">
        <v>1.2000000000000011E-2</v>
      </c>
      <c r="AE73" s="119">
        <v>-7.0000000000001172E-3</v>
      </c>
      <c r="AF73" s="119">
        <v>-1.4999999999999902E-2</v>
      </c>
      <c r="AG73" s="119">
        <v>-1.3000000000000123E-2</v>
      </c>
      <c r="AH73" s="119">
        <v>-3.2000000000000028E-2</v>
      </c>
      <c r="AI73" s="119">
        <v>-2.8000000000000025E-2</v>
      </c>
      <c r="AJ73" s="119">
        <v>-2.0000000000000018E-2</v>
      </c>
      <c r="AK73" s="119">
        <v>-2.5000000000000133E-2</v>
      </c>
      <c r="AL73" s="119">
        <v>-2.5000000000000133E-2</v>
      </c>
      <c r="AM73" s="119">
        <v>-2.6999999999999913E-2</v>
      </c>
      <c r="AN73" s="119">
        <v>-1.0000000000000009E-2</v>
      </c>
      <c r="AO73" s="119">
        <v>-4.9999999999998934E-3</v>
      </c>
      <c r="AP73" s="119">
        <v>-7.0000000000001172E-3</v>
      </c>
      <c r="AQ73" s="119">
        <v>-1.5000000000000124E-2</v>
      </c>
      <c r="AR73" s="119">
        <v>-2.2999999999999909E-2</v>
      </c>
      <c r="AS73" s="119">
        <v>-2.4999999999999911E-2</v>
      </c>
      <c r="AT73" s="4">
        <v>0.25200000000000022</v>
      </c>
      <c r="AU73" s="4">
        <v>0.31000000000000005</v>
      </c>
    </row>
    <row r="74" spans="1:47" ht="6.95" customHeight="1">
      <c r="A74" s="312"/>
      <c r="B74" s="14" t="str">
        <f>'2'!A8</f>
        <v>국민주택1종19-05</v>
      </c>
      <c r="C74" s="112">
        <f>'2'!D8</f>
        <v>45443</v>
      </c>
      <c r="D74" s="116" t="str">
        <f>'2'!E8</f>
        <v>금</v>
      </c>
      <c r="E74" s="84">
        <f>'2'!S8</f>
        <v>1.272</v>
      </c>
      <c r="F74" s="53">
        <f>E74-'2(t-1)'!S8</f>
        <v>-2.0000000000000018E-3</v>
      </c>
      <c r="G74" s="15">
        <f>'2'!H8</f>
        <v>1322205</v>
      </c>
      <c r="H74" s="109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164</v>
      </c>
      <c r="Z74" s="119">
        <f>H48</f>
        <v>8.999999999999897E-3</v>
      </c>
      <c r="AA74" s="119">
        <v>1.4999999999999902E-2</v>
      </c>
      <c r="AB74" s="119">
        <v>2.3000000000000131E-2</v>
      </c>
      <c r="AC74" s="119">
        <v>8.0000000000000071E-3</v>
      </c>
      <c r="AD74" s="119">
        <v>1.0000000000000009E-2</v>
      </c>
      <c r="AE74" s="119">
        <v>-1.2000000000000011E-2</v>
      </c>
      <c r="AF74" s="119">
        <v>-8.0000000000000071E-3</v>
      </c>
      <c r="AG74" s="119">
        <v>-8.0000000000000071E-3</v>
      </c>
      <c r="AH74" s="119">
        <v>-2.4000000000000021E-2</v>
      </c>
      <c r="AI74" s="119">
        <v>-2.0000000000000018E-2</v>
      </c>
      <c r="AJ74" s="119">
        <v>-2.0000000000000018E-3</v>
      </c>
      <c r="AK74" s="119">
        <v>-1.2000000000000011E-2</v>
      </c>
      <c r="AL74" s="119">
        <v>-1.3000000000000123E-2</v>
      </c>
      <c r="AM74" s="119">
        <v>-1.5000000000000124E-2</v>
      </c>
      <c r="AN74" s="119">
        <v>-2.0000000000000018E-3</v>
      </c>
      <c r="AO74" s="119">
        <v>2.0000000000000018E-3</v>
      </c>
      <c r="AP74" s="119">
        <v>0</v>
      </c>
      <c r="AQ74" s="119">
        <v>-7.0000000000001172E-3</v>
      </c>
      <c r="AR74" s="119">
        <v>-1.0000000000000009E-2</v>
      </c>
      <c r="AS74" s="119">
        <v>-1.2999999999999901E-2</v>
      </c>
      <c r="AT74" s="4">
        <v>0.16199999999999992</v>
      </c>
      <c r="AU74" s="4">
        <v>0.22699999999999987</v>
      </c>
    </row>
    <row r="75" spans="1:47" ht="6.95" customHeight="1">
      <c r="A75" s="310" t="s">
        <v>81</v>
      </c>
      <c r="B75" s="149" t="str">
        <f>'2'!A9</f>
        <v>경기지역개발19-08</v>
      </c>
      <c r="C75" s="145">
        <f>'2'!D9</f>
        <v>45535</v>
      </c>
      <c r="D75" s="146" t="str">
        <f>'2'!E9</f>
        <v>토</v>
      </c>
      <c r="E75" s="147">
        <f>'2'!S9</f>
        <v>1.3240000000000001</v>
      </c>
      <c r="F75" s="148">
        <f>E75-'2(t-1)'!S9</f>
        <v>-2.9999999999998916E-3</v>
      </c>
      <c r="G75" s="150">
        <f>'2'!H9</f>
        <v>25635</v>
      </c>
      <c r="H75" s="110" t="s">
        <v>155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165</v>
      </c>
      <c r="Z75" s="119">
        <f>H26</f>
        <v>3.1000000000000139E-2</v>
      </c>
      <c r="AA75" s="119">
        <v>4.0000000000000036E-2</v>
      </c>
      <c r="AB75" s="119">
        <v>4.4999999999999929E-2</v>
      </c>
      <c r="AC75" s="119">
        <v>4.8999999999999932E-2</v>
      </c>
      <c r="AD75" s="119">
        <v>5.0000000000000044E-2</v>
      </c>
      <c r="AE75" s="119">
        <v>6.0000000000000053E-2</v>
      </c>
      <c r="AF75" s="119">
        <v>5.4999999999999938E-2</v>
      </c>
      <c r="AG75" s="119">
        <v>5.3000000000000158E-2</v>
      </c>
      <c r="AH75" s="119">
        <v>4.7999999999999821E-2</v>
      </c>
      <c r="AI75" s="119">
        <v>4.8000000000000043E-2</v>
      </c>
      <c r="AJ75" s="119">
        <v>5.0000000000000044E-2</v>
      </c>
      <c r="AK75" s="119">
        <v>6.2000000000000055E-2</v>
      </c>
      <c r="AL75" s="119">
        <v>6.4999999999999947E-2</v>
      </c>
      <c r="AM75" s="119">
        <v>6.4999999999999947E-2</v>
      </c>
      <c r="AN75" s="119">
        <v>7.0000000000000062E-2</v>
      </c>
      <c r="AO75" s="119">
        <v>6.899999999999995E-2</v>
      </c>
      <c r="AP75" s="119">
        <v>6.2000000000000055E-2</v>
      </c>
      <c r="AQ75" s="119">
        <v>6.3000000000000167E-2</v>
      </c>
      <c r="AR75" s="119">
        <v>6.4999999999999947E-2</v>
      </c>
      <c r="AS75" s="119">
        <v>6.999999999999984E-2</v>
      </c>
      <c r="AT75" s="4">
        <v>0.3879999999999999</v>
      </c>
      <c r="AU75" s="4">
        <v>0.39500000000000002</v>
      </c>
    </row>
    <row r="76" spans="1:47" ht="6.95" customHeight="1">
      <c r="A76" s="311"/>
      <c r="B76" s="14" t="str">
        <f>'2'!A10</f>
        <v>경기지역개발19-07</v>
      </c>
      <c r="C76" s="112">
        <f>'2'!D10</f>
        <v>45504</v>
      </c>
      <c r="D76" s="116" t="str">
        <f>'2'!E10</f>
        <v>수</v>
      </c>
      <c r="E76" s="84">
        <f>'2'!S10</f>
        <v>1.323</v>
      </c>
      <c r="F76" s="53">
        <f>E76-'2(t-1)'!S10</f>
        <v>-3.0000000000001137E-3</v>
      </c>
      <c r="G76" s="15">
        <f>'2'!H10</f>
        <v>29005</v>
      </c>
      <c r="H76" s="113" t="s">
        <v>154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187</v>
      </c>
      <c r="Z76" s="119">
        <f>H15</f>
        <v>3.499999999999992E-2</v>
      </c>
      <c r="AA76" s="119">
        <v>3.2999999999999918E-2</v>
      </c>
      <c r="AB76" s="119">
        <v>2.4999999999999911E-2</v>
      </c>
      <c r="AC76" s="119">
        <v>4.8000000000000043E-2</v>
      </c>
      <c r="AD76" s="119">
        <v>5.4999999999999938E-2</v>
      </c>
      <c r="AE76" s="119">
        <v>5.2999999999999936E-2</v>
      </c>
      <c r="AF76" s="119">
        <v>4.4999999999999929E-2</v>
      </c>
      <c r="AG76" s="119">
        <v>3.9999999999999813E-2</v>
      </c>
      <c r="AH76" s="119">
        <v>3.0000000000000027E-2</v>
      </c>
      <c r="AI76" s="119">
        <v>3.5000000000000142E-2</v>
      </c>
      <c r="AJ76" s="119">
        <v>2.8000000000000025E-2</v>
      </c>
      <c r="AK76" s="119">
        <v>3.8000000000000034E-2</v>
      </c>
      <c r="AL76" s="119">
        <v>4.0000000000000036E-2</v>
      </c>
      <c r="AM76" s="119">
        <v>4.0000000000000036E-2</v>
      </c>
      <c r="AN76" s="119">
        <v>3.0000000000000027E-2</v>
      </c>
      <c r="AO76" s="119">
        <v>2.0999999999999908E-2</v>
      </c>
      <c r="AP76" s="119">
        <v>1.6000000000000014E-2</v>
      </c>
      <c r="AQ76" s="119">
        <v>3.0999999999999917E-2</v>
      </c>
      <c r="AR76" s="119">
        <v>3.1000000000000139E-2</v>
      </c>
      <c r="AS76" s="119">
        <v>3.5000000000000142E-2</v>
      </c>
      <c r="AT76" s="4">
        <v>0.19199999999999995</v>
      </c>
      <c r="AU76" s="4">
        <v>0.24000000000000021</v>
      </c>
    </row>
    <row r="77" spans="1:47" ht="6.95" customHeight="1">
      <c r="A77" s="312"/>
      <c r="B77" s="98" t="str">
        <f>'2'!A11</f>
        <v>경기지역개발19-06</v>
      </c>
      <c r="C77" s="104">
        <f>'2'!D11</f>
        <v>45473</v>
      </c>
      <c r="D77" s="106" t="str">
        <f>'2'!E11</f>
        <v>일</v>
      </c>
      <c r="E77" s="85">
        <f>'2'!S11</f>
        <v>1.3220000000000001</v>
      </c>
      <c r="F77" s="99">
        <f>E77-'2(t-1)'!S11</f>
        <v>-2.0000000000000018E-3</v>
      </c>
      <c r="G77" s="115">
        <f>'2'!H11</f>
        <v>24093</v>
      </c>
      <c r="H77" s="214">
        <f>E75-E14</f>
        <v>0.1140000000000001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188</v>
      </c>
      <c r="Z77" s="119">
        <f>H29</f>
        <v>6.6000000000000059E-2</v>
      </c>
      <c r="AA77" s="119">
        <v>7.2999999999999954E-2</v>
      </c>
      <c r="AB77" s="119">
        <v>6.999999999999984E-2</v>
      </c>
      <c r="AC77" s="119">
        <v>9.6999999999999975E-2</v>
      </c>
      <c r="AD77" s="119">
        <v>0.10499999999999998</v>
      </c>
      <c r="AE77" s="119">
        <v>0.11299999999999999</v>
      </c>
      <c r="AF77" s="119">
        <v>9.9999999999999867E-2</v>
      </c>
      <c r="AG77" s="119">
        <v>9.2999999999999972E-2</v>
      </c>
      <c r="AH77" s="119">
        <v>7.7999999999999847E-2</v>
      </c>
      <c r="AI77" s="119">
        <v>8.3000000000000185E-2</v>
      </c>
      <c r="AJ77" s="119">
        <v>7.8000000000000069E-2</v>
      </c>
      <c r="AK77" s="119">
        <v>0.10000000000000009</v>
      </c>
      <c r="AL77" s="119">
        <v>0.10499999999999998</v>
      </c>
      <c r="AM77" s="119">
        <v>0.10499999999999998</v>
      </c>
      <c r="AN77" s="119">
        <v>0.10000000000000009</v>
      </c>
      <c r="AO77" s="119">
        <v>8.9999999999999858E-2</v>
      </c>
      <c r="AP77" s="119">
        <v>7.8000000000000069E-2</v>
      </c>
      <c r="AQ77" s="119">
        <v>9.4000000000000083E-2</v>
      </c>
      <c r="AR77" s="119">
        <v>9.6000000000000085E-2</v>
      </c>
      <c r="AS77" s="119">
        <v>0.10499999999999998</v>
      </c>
      <c r="AT77" s="4">
        <v>0.57999999999999985</v>
      </c>
      <c r="AU77" s="4">
        <v>0.63500000000000023</v>
      </c>
    </row>
    <row r="78" spans="1:47" ht="6.95" customHeight="1">
      <c r="A78" s="310" t="s">
        <v>76</v>
      </c>
      <c r="B78" s="149" t="str">
        <f>'2'!A12</f>
        <v>예보상환기금채2018-2</v>
      </c>
      <c r="C78" s="145">
        <f>'2'!D12</f>
        <v>44418</v>
      </c>
      <c r="D78" s="146" t="str">
        <f>'2'!E12</f>
        <v>화</v>
      </c>
      <c r="E78" s="147">
        <f>'2'!S12</f>
        <v>1.3120000000000001</v>
      </c>
      <c r="F78" s="148">
        <f>E78-'2(t-1)'!S12</f>
        <v>1.3000000000000123E-2</v>
      </c>
      <c r="G78" s="150">
        <f>'2'!H12</f>
        <v>800000</v>
      </c>
      <c r="H78" s="245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189</v>
      </c>
      <c r="Z78" s="119">
        <f>H32</f>
        <v>4.1000000000000147E-2</v>
      </c>
      <c r="AA78" s="119">
        <v>6.2999999999999945E-2</v>
      </c>
      <c r="AB78" s="119">
        <v>4.4999999999999929E-2</v>
      </c>
      <c r="AC78" s="119">
        <v>8.8999999999999968E-2</v>
      </c>
      <c r="AD78" s="119">
        <v>0.10000000000000009</v>
      </c>
      <c r="AE78" s="119">
        <v>0.125</v>
      </c>
      <c r="AF78" s="119">
        <v>0.10299999999999998</v>
      </c>
      <c r="AG78" s="119">
        <v>9.4000000000000083E-2</v>
      </c>
      <c r="AH78" s="119">
        <v>7.7999999999999847E-2</v>
      </c>
      <c r="AI78" s="119">
        <v>8.3000000000000185E-2</v>
      </c>
      <c r="AJ78" s="119">
        <v>8.0000000000000071E-2</v>
      </c>
      <c r="AK78" s="119">
        <v>0.10499999999999998</v>
      </c>
      <c r="AL78" s="119">
        <v>0.1080000000000001</v>
      </c>
      <c r="AM78" s="119">
        <v>0.10200000000000009</v>
      </c>
      <c r="AN78" s="119">
        <v>8.2000000000000073E-2</v>
      </c>
      <c r="AO78" s="119">
        <v>5.9999999999999831E-2</v>
      </c>
      <c r="AP78" s="119">
        <v>4.5000000000000151E-2</v>
      </c>
      <c r="AQ78" s="119">
        <v>6.7000000000000171E-2</v>
      </c>
      <c r="AR78" s="119">
        <v>7.8000000000000069E-2</v>
      </c>
      <c r="AS78" s="119">
        <v>8.5999999999999854E-2</v>
      </c>
      <c r="AT78" s="4">
        <v>0.63299999999999979</v>
      </c>
      <c r="AU78" s="4">
        <v>0.68300000000000005</v>
      </c>
    </row>
    <row r="79" spans="1:47" ht="6.95" customHeight="1">
      <c r="A79" s="311"/>
      <c r="B79" s="14" t="str">
        <f>'2'!A13</f>
        <v>예보상환기금채2018-1</v>
      </c>
      <c r="C79" s="112">
        <f>'2'!D13</f>
        <v>44227</v>
      </c>
      <c r="D79" s="116" t="str">
        <f>'2'!E13</f>
        <v>일</v>
      </c>
      <c r="E79" s="84">
        <f>'2'!S13</f>
        <v>1.284</v>
      </c>
      <c r="F79" s="53">
        <f>E79-'2(t-1)'!S13</f>
        <v>5.0000000000001155E-3</v>
      </c>
      <c r="G79" s="15">
        <f>'2'!H13</f>
        <v>680000</v>
      </c>
      <c r="H79" s="138" t="s">
        <v>156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190</v>
      </c>
      <c r="Z79" s="119">
        <f>H10</f>
        <v>-2.4999999999999911E-2</v>
      </c>
      <c r="AA79" s="119">
        <v>-1.0000000000000009E-2</v>
      </c>
      <c r="AB79" s="119">
        <v>-2.4999999999999911E-2</v>
      </c>
      <c r="AC79" s="119">
        <v>-8.0000000000000071E-3</v>
      </c>
      <c r="AD79" s="119">
        <v>-4.9999999999998934E-3</v>
      </c>
      <c r="AE79" s="119">
        <v>1.2000000000000011E-2</v>
      </c>
      <c r="AF79" s="119">
        <v>3.0000000000001137E-3</v>
      </c>
      <c r="AG79" s="119">
        <v>1.0000000000001119E-3</v>
      </c>
      <c r="AH79" s="119">
        <v>0</v>
      </c>
      <c r="AI79" s="119">
        <v>0</v>
      </c>
      <c r="AJ79" s="119">
        <v>2.0000000000000018E-3</v>
      </c>
      <c r="AK79" s="119">
        <v>4.9999999999998934E-3</v>
      </c>
      <c r="AL79" s="119">
        <v>3.0000000000001137E-3</v>
      </c>
      <c r="AM79" s="119">
        <v>-2.9999999999998916E-3</v>
      </c>
      <c r="AN79" s="119">
        <v>-1.8000000000000016E-2</v>
      </c>
      <c r="AO79" s="119">
        <v>-3.0000000000000027E-2</v>
      </c>
      <c r="AP79" s="119">
        <v>-3.2999999999999918E-2</v>
      </c>
      <c r="AQ79" s="119">
        <v>-2.6999999999999913E-2</v>
      </c>
      <c r="AR79" s="119">
        <v>-1.8000000000000016E-2</v>
      </c>
      <c r="AS79" s="119">
        <v>-1.9000000000000128E-2</v>
      </c>
      <c r="AT79" s="4">
        <v>5.2999999999999936E-2</v>
      </c>
      <c r="AU79" s="4">
        <v>4.7999999999999821E-2</v>
      </c>
    </row>
    <row r="80" spans="1:47" ht="6.95" customHeight="1">
      <c r="A80" s="311"/>
      <c r="B80" s="14" t="str">
        <f>'2'!A14</f>
        <v>예보상환기금채2017-1</v>
      </c>
      <c r="C80" s="112">
        <f>'2'!D14</f>
        <v>44136</v>
      </c>
      <c r="D80" s="116" t="str">
        <f>'2'!E14</f>
        <v>일</v>
      </c>
      <c r="E80" s="84">
        <f>'2'!S14</f>
        <v>1.2709999999999999</v>
      </c>
      <c r="F80" s="53">
        <f>E80-'2(t-1)'!S14</f>
        <v>6.0000000000000053E-3</v>
      </c>
      <c r="G80" s="15">
        <f>'2'!H14</f>
        <v>1520000</v>
      </c>
      <c r="H80" s="139" t="s">
        <v>157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312</v>
      </c>
      <c r="Z80" s="120">
        <f>S10</f>
        <v>3.0999999999999917E-2</v>
      </c>
      <c r="AA80" s="120">
        <v>2.200000000000002E-2</v>
      </c>
      <c r="AB80" s="120">
        <v>1.1000000000000121E-2</v>
      </c>
      <c r="AC80" s="120">
        <v>1.9000000000000128E-2</v>
      </c>
      <c r="AD80" s="120">
        <v>-8.0000000000000071E-3</v>
      </c>
      <c r="AE80" s="120">
        <v>7.0000000000001172E-3</v>
      </c>
      <c r="AF80" s="120">
        <v>-4.4999999999999929E-2</v>
      </c>
      <c r="AG80" s="120">
        <v>-5.600000000000005E-2</v>
      </c>
      <c r="AH80" s="120">
        <v>-5.7999999999999829E-2</v>
      </c>
      <c r="AI80" s="120">
        <v>-4.8000000000000043E-2</v>
      </c>
      <c r="AJ80" s="120">
        <v>-5.8000000000000052E-2</v>
      </c>
      <c r="AK80" s="120">
        <v>-3.6999999999999922E-2</v>
      </c>
      <c r="AL80" s="120">
        <v>-4.4000000000000039E-2</v>
      </c>
      <c r="AM80" s="120">
        <v>-5.1000000000000156E-2</v>
      </c>
      <c r="AN80" s="120">
        <v>-5.699999999999994E-2</v>
      </c>
      <c r="AO80" s="120">
        <v>-3.8999999999999924E-2</v>
      </c>
      <c r="AP80" s="120">
        <v>-3.2000000000000028E-2</v>
      </c>
      <c r="AQ80" s="120">
        <v>-9.000000000000119E-3</v>
      </c>
      <c r="AR80" s="120">
        <v>-2.0000000000000018E-3</v>
      </c>
      <c r="AS80" s="120">
        <v>0</v>
      </c>
    </row>
    <row r="81" spans="1:47" ht="6.95" customHeight="1">
      <c r="A81" s="311"/>
      <c r="B81" s="14" t="str">
        <f>'2'!A15</f>
        <v>예보상환기금채2015-1</v>
      </c>
      <c r="C81" s="112">
        <f>'2'!D15</f>
        <v>44160</v>
      </c>
      <c r="D81" s="116" t="str">
        <f>'2'!E15</f>
        <v>수</v>
      </c>
      <c r="E81" s="84">
        <f>'2'!S15</f>
        <v>1.274</v>
      </c>
      <c r="F81" s="53">
        <f>E81-'2(t-1)'!S15</f>
        <v>5.0000000000001155E-3</v>
      </c>
      <c r="G81" s="15">
        <f>'2'!H15</f>
        <v>880000</v>
      </c>
      <c r="H81" s="246">
        <f>E78-E7</f>
        <v>0.13700000000000001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126" t="s">
        <v>313</v>
      </c>
      <c r="Z81" s="121">
        <f>H70</f>
        <v>6.4999999999999947E-2</v>
      </c>
      <c r="AA81" s="121">
        <v>6.6999999999999948E-2</v>
      </c>
      <c r="AB81" s="121">
        <v>6.4999999999999947E-2</v>
      </c>
      <c r="AC81" s="121">
        <v>5.699999999999994E-2</v>
      </c>
      <c r="AD81" s="121">
        <v>5.0000000000000044E-2</v>
      </c>
      <c r="AE81" s="121">
        <v>4.8999999999999932E-2</v>
      </c>
      <c r="AF81" s="121">
        <v>5.0000000000000044E-2</v>
      </c>
      <c r="AG81" s="121">
        <v>4.9000000000000155E-2</v>
      </c>
      <c r="AH81" s="121">
        <v>4.9999999999999822E-2</v>
      </c>
      <c r="AI81" s="121">
        <v>4.8000000000000043E-2</v>
      </c>
      <c r="AJ81" s="121">
        <v>5.0000000000000044E-2</v>
      </c>
      <c r="AK81" s="121">
        <v>4.8000000000000043E-2</v>
      </c>
      <c r="AL81" s="121">
        <v>4.4999999999999929E-2</v>
      </c>
      <c r="AM81" s="121">
        <v>4.2999999999999927E-2</v>
      </c>
      <c r="AN81" s="121">
        <v>4.2999999999999927E-2</v>
      </c>
      <c r="AO81" s="121">
        <v>4.4000000000000039E-2</v>
      </c>
      <c r="AP81" s="121">
        <v>4.4000000000000039E-2</v>
      </c>
      <c r="AQ81" s="121">
        <v>4.8000000000000043E-2</v>
      </c>
      <c r="AR81" s="121">
        <v>5.2999999999999936E-2</v>
      </c>
      <c r="AS81" s="121">
        <v>5.3999999999999826E-2</v>
      </c>
    </row>
    <row r="82" spans="1:47" ht="6.95" customHeight="1">
      <c r="A82" s="312"/>
      <c r="B82" s="14"/>
      <c r="C82" s="112"/>
      <c r="D82" s="116"/>
      <c r="E82" s="84"/>
      <c r="F82" s="53"/>
      <c r="G82" s="15"/>
      <c r="H82" s="248"/>
      <c r="I82" s="8"/>
      <c r="J82" s="34"/>
      <c r="K82" s="12"/>
      <c r="L82" s="13"/>
      <c r="M82" s="49"/>
      <c r="N82" s="49"/>
      <c r="O82" s="12"/>
      <c r="P82" s="12"/>
      <c r="Q82" s="73"/>
      <c r="R82" s="31"/>
      <c r="S82" s="41"/>
      <c r="Y82" s="39" t="s">
        <v>314</v>
      </c>
      <c r="Z82" s="134">
        <f>시평!E16-시평!E13</f>
        <v>0.15999999999999992</v>
      </c>
      <c r="AA82" s="134">
        <v>0.15799999999999992</v>
      </c>
      <c r="AB82" s="134">
        <v>0.16300000000000003</v>
      </c>
      <c r="AC82" s="134">
        <v>0.15800000000000014</v>
      </c>
      <c r="AD82" s="134">
        <v>0.15200000000000014</v>
      </c>
      <c r="AE82" s="134">
        <v>0.14500000000000002</v>
      </c>
      <c r="AF82" s="134">
        <v>0.14100000000000001</v>
      </c>
      <c r="AG82" s="134">
        <v>0.13900000000000001</v>
      </c>
      <c r="AH82" s="134">
        <v>0.13600000000000012</v>
      </c>
      <c r="AI82" s="134">
        <v>0.12999999999999989</v>
      </c>
      <c r="AJ82" s="134">
        <v>0.12400000000000011</v>
      </c>
      <c r="AK82" s="134">
        <v>0.11699999999999999</v>
      </c>
      <c r="AL82" s="134">
        <v>0.10899999999999999</v>
      </c>
      <c r="AM82" s="134">
        <v>0.10400000000000009</v>
      </c>
      <c r="AN82" s="134">
        <v>0.10099999999999998</v>
      </c>
      <c r="AO82" s="134">
        <v>9.7999999999999865E-2</v>
      </c>
      <c r="AP82" s="134">
        <v>9.8000000000000087E-2</v>
      </c>
      <c r="AQ82" s="134">
        <v>9.199999999999986E-2</v>
      </c>
      <c r="AR82" s="134">
        <v>8.8999999999999968E-2</v>
      </c>
      <c r="AS82" s="134">
        <v>8.9999999999999858E-2</v>
      </c>
    </row>
    <row r="83" spans="1:47" ht="6.95" customHeight="1">
      <c r="A83" s="313" t="s">
        <v>194</v>
      </c>
      <c r="B83" s="212" t="s">
        <v>514</v>
      </c>
      <c r="C83" s="111">
        <f>'2'!D28</f>
        <v>45369</v>
      </c>
      <c r="D83" s="117" t="str">
        <f>'2'!E28</f>
        <v>월</v>
      </c>
      <c r="E83" s="135">
        <f>'2'!S28</f>
        <v>1.33</v>
      </c>
      <c r="F83" s="144">
        <f>E83-'2(t-1)'!S28</f>
        <v>-9.9999999999988987E-4</v>
      </c>
      <c r="G83" s="130">
        <f>'2'!H28</f>
        <v>360000</v>
      </c>
      <c r="H83" s="136"/>
      <c r="I83" s="8"/>
      <c r="J83" s="34"/>
      <c r="K83" s="12"/>
      <c r="L83" s="13"/>
      <c r="M83" s="49"/>
      <c r="N83" s="49"/>
      <c r="O83" s="12"/>
      <c r="P83" s="12"/>
      <c r="Q83" s="73"/>
      <c r="R83" s="31"/>
      <c r="S83" s="41"/>
      <c r="Y83" s="37" t="s">
        <v>178</v>
      </c>
      <c r="Z83" s="120">
        <f>시평!I16-시평!I2</f>
        <v>0.19199999999999995</v>
      </c>
      <c r="AA83" s="120">
        <v>0.18999999999999995</v>
      </c>
      <c r="AB83" s="120">
        <v>0.19299999999999984</v>
      </c>
      <c r="AC83" s="120">
        <v>0.18799999999999994</v>
      </c>
      <c r="AD83" s="120">
        <v>0.18700000000000006</v>
      </c>
      <c r="AE83" s="120">
        <v>0.18199999999999994</v>
      </c>
      <c r="AF83" s="120">
        <v>0.18299999999999983</v>
      </c>
      <c r="AG83" s="120">
        <v>0.18299999999999983</v>
      </c>
      <c r="AH83" s="120">
        <v>0.17999999999999994</v>
      </c>
      <c r="AI83" s="120">
        <v>0.17200000000000015</v>
      </c>
      <c r="AJ83" s="120">
        <v>0.17000000000000015</v>
      </c>
      <c r="AK83" s="120">
        <v>0.16300000000000003</v>
      </c>
      <c r="AL83" s="120">
        <v>0.16199999999999992</v>
      </c>
      <c r="AM83" s="120">
        <v>0.16100000000000003</v>
      </c>
      <c r="AN83" s="120">
        <v>0.16100000000000003</v>
      </c>
      <c r="AO83" s="120">
        <v>0.15900000000000003</v>
      </c>
      <c r="AP83" s="120">
        <v>0.15900000000000003</v>
      </c>
      <c r="AQ83" s="120">
        <v>0.15399999999999991</v>
      </c>
      <c r="AR83" s="120">
        <v>0.15000000000000013</v>
      </c>
      <c r="AS83" s="120">
        <v>0.15000000000000013</v>
      </c>
      <c r="AT83" s="4">
        <v>0.12399999999999989</v>
      </c>
      <c r="AU83" s="4">
        <v>0.1379999999999999</v>
      </c>
    </row>
    <row r="84" spans="1:47" ht="6.95" customHeight="1">
      <c r="A84" s="314"/>
      <c r="B84" s="201" t="s">
        <v>513</v>
      </c>
      <c r="C84" s="112">
        <f>'2'!D29</f>
        <v>45305</v>
      </c>
      <c r="D84" s="116" t="str">
        <f>'2'!E29</f>
        <v>일</v>
      </c>
      <c r="E84" s="84">
        <f>'2'!S29</f>
        <v>1.33</v>
      </c>
      <c r="F84" s="53">
        <f>E84-'2(t-1)'!S29</f>
        <v>-9.9999999999988987E-4</v>
      </c>
      <c r="G84" s="15">
        <f>'2'!H29</f>
        <v>580000</v>
      </c>
      <c r="H84" s="137"/>
      <c r="I84" s="8"/>
      <c r="J84" s="34"/>
      <c r="K84" s="12"/>
      <c r="L84" s="13"/>
      <c r="M84" s="49"/>
      <c r="N84" s="49"/>
      <c r="O84" s="12"/>
      <c r="P84" s="12"/>
      <c r="Q84" s="73"/>
      <c r="R84" s="31"/>
      <c r="S84" s="41"/>
      <c r="Y84" s="37" t="s">
        <v>177</v>
      </c>
      <c r="Z84" s="120">
        <f>시평!K16-시평!K2</f>
        <v>0.17900000000000005</v>
      </c>
      <c r="AA84" s="120">
        <v>0.17999999999999994</v>
      </c>
      <c r="AB84" s="120">
        <v>0.17999999999999994</v>
      </c>
      <c r="AC84" s="120">
        <v>0.17899999999999983</v>
      </c>
      <c r="AD84" s="120">
        <v>0.17900000000000005</v>
      </c>
      <c r="AE84" s="120">
        <v>0.17900000000000005</v>
      </c>
      <c r="AF84" s="120">
        <v>0.17900000000000005</v>
      </c>
      <c r="AG84" s="120">
        <v>0.17900000000000005</v>
      </c>
      <c r="AH84" s="120">
        <v>0.17899999999999983</v>
      </c>
      <c r="AI84" s="120">
        <v>0.17500000000000004</v>
      </c>
      <c r="AJ84" s="120">
        <v>0.17600000000000016</v>
      </c>
      <c r="AK84" s="120">
        <v>0.17199999999999993</v>
      </c>
      <c r="AL84" s="120">
        <v>0.17199999999999993</v>
      </c>
      <c r="AM84" s="120">
        <v>0.17299999999999982</v>
      </c>
      <c r="AN84" s="120">
        <v>0.17300000000000004</v>
      </c>
      <c r="AO84" s="120">
        <v>0.17400000000000015</v>
      </c>
      <c r="AP84" s="120">
        <v>0.17300000000000004</v>
      </c>
      <c r="AQ84" s="120">
        <v>0.16700000000000004</v>
      </c>
      <c r="AR84" s="120">
        <v>0.16599999999999993</v>
      </c>
      <c r="AS84" s="120">
        <v>0.16599999999999993</v>
      </c>
      <c r="AT84" s="4">
        <v>0.16900000000000004</v>
      </c>
      <c r="AU84" s="4">
        <v>0.19099999999999984</v>
      </c>
    </row>
    <row r="85" spans="1:47" ht="6.95" customHeight="1">
      <c r="A85" s="314"/>
      <c r="B85" s="201" t="s">
        <v>346</v>
      </c>
      <c r="C85" s="112">
        <f>'2'!D30</f>
        <v>44971</v>
      </c>
      <c r="D85" s="116" t="str">
        <f>'2'!E30</f>
        <v>화</v>
      </c>
      <c r="E85" s="84">
        <f>'2'!S30</f>
        <v>1.3280000000000001</v>
      </c>
      <c r="F85" s="53">
        <f>E85-'2(t-1)'!S30</f>
        <v>-2.0000000000000018E-3</v>
      </c>
      <c r="G85" s="15">
        <f>'2'!H30</f>
        <v>320000</v>
      </c>
      <c r="H85" s="138" t="s">
        <v>308</v>
      </c>
      <c r="I85" s="8"/>
      <c r="J85" s="34"/>
      <c r="K85" s="12"/>
      <c r="L85" s="13"/>
      <c r="M85" s="49"/>
      <c r="N85" s="49"/>
      <c r="O85" s="12"/>
      <c r="P85" s="12"/>
      <c r="Q85" s="73"/>
      <c r="R85" s="31"/>
      <c r="S85" s="41"/>
      <c r="Y85" s="37" t="s">
        <v>179</v>
      </c>
      <c r="Z85" s="120">
        <f>시평!I9-시평!I2</f>
        <v>0.15700000000000003</v>
      </c>
      <c r="AA85" s="120">
        <v>0.15599999999999992</v>
      </c>
      <c r="AB85" s="120">
        <v>0.15599999999999992</v>
      </c>
      <c r="AC85" s="120">
        <v>0.15599999999999992</v>
      </c>
      <c r="AD85" s="120">
        <v>0.15500000000000003</v>
      </c>
      <c r="AE85" s="120">
        <v>0.15399999999999991</v>
      </c>
      <c r="AF85" s="120">
        <v>0.15399999999999991</v>
      </c>
      <c r="AG85" s="120">
        <v>0.15199999999999991</v>
      </c>
      <c r="AH85" s="120">
        <v>0.15100000000000002</v>
      </c>
      <c r="AI85" s="120">
        <v>0.14400000000000013</v>
      </c>
      <c r="AJ85" s="120">
        <v>0.14100000000000001</v>
      </c>
      <c r="AK85" s="120">
        <v>0.13600000000000012</v>
      </c>
      <c r="AL85" s="120">
        <v>0.13500000000000001</v>
      </c>
      <c r="AM85" s="120">
        <v>0.13500000000000001</v>
      </c>
      <c r="AN85" s="120">
        <v>0.13500000000000001</v>
      </c>
      <c r="AO85" s="120">
        <v>0.13300000000000001</v>
      </c>
      <c r="AP85" s="120">
        <v>0.1339999999999999</v>
      </c>
      <c r="AQ85" s="120">
        <v>0.12800000000000011</v>
      </c>
      <c r="AR85" s="120">
        <v>0.12600000000000011</v>
      </c>
      <c r="AS85" s="120">
        <v>0.127</v>
      </c>
      <c r="AT85" s="4">
        <v>0.11399999999999988</v>
      </c>
      <c r="AU85" s="4">
        <v>0.13600000000000012</v>
      </c>
    </row>
    <row r="86" spans="1:47" ht="6.95" customHeight="1">
      <c r="A86" s="314"/>
      <c r="B86" s="132" t="s">
        <v>317</v>
      </c>
      <c r="C86" s="112">
        <f>'2'!D31</f>
        <v>44796</v>
      </c>
      <c r="D86" s="116" t="str">
        <f>'2'!E31</f>
        <v>화</v>
      </c>
      <c r="E86" s="84">
        <f>'2'!S31</f>
        <v>1.329</v>
      </c>
      <c r="F86" s="53">
        <f>E86-'2(t-1)'!S31</f>
        <v>-1.0000000000001119E-3</v>
      </c>
      <c r="G86" s="15">
        <f>'2'!H31</f>
        <v>1200000</v>
      </c>
      <c r="H86" s="139" t="s">
        <v>309</v>
      </c>
      <c r="I86" s="8"/>
      <c r="J86" s="34"/>
      <c r="K86" s="12"/>
      <c r="L86" s="13"/>
      <c r="M86" s="49"/>
      <c r="N86" s="49"/>
      <c r="O86" s="12"/>
      <c r="P86" s="12"/>
      <c r="Q86" s="73"/>
      <c r="R86" s="31"/>
      <c r="S86" s="41"/>
      <c r="Y86" s="37" t="s">
        <v>180</v>
      </c>
      <c r="Z86" s="120">
        <f>시평!K9-시평!K2</f>
        <v>0.12600000000000011</v>
      </c>
      <c r="AA86" s="120">
        <v>0.12600000000000011</v>
      </c>
      <c r="AB86" s="120">
        <v>0.127</v>
      </c>
      <c r="AC86" s="120">
        <v>0.12199999999999989</v>
      </c>
      <c r="AD86" s="120">
        <v>0.12000000000000011</v>
      </c>
      <c r="AE86" s="120">
        <v>0.12000000000000011</v>
      </c>
      <c r="AF86" s="120">
        <v>0.12199999999999989</v>
      </c>
      <c r="AG86" s="120">
        <v>0.12200000000000011</v>
      </c>
      <c r="AH86" s="120">
        <v>0.12199999999999989</v>
      </c>
      <c r="AI86" s="120">
        <v>0.11499999999999999</v>
      </c>
      <c r="AJ86" s="120">
        <v>0.1160000000000001</v>
      </c>
      <c r="AK86" s="120">
        <v>0.10899999999999999</v>
      </c>
      <c r="AL86" s="120">
        <v>0.10899999999999999</v>
      </c>
      <c r="AM86" s="120">
        <v>0.10899999999999999</v>
      </c>
      <c r="AN86" s="120">
        <v>0.10999999999999988</v>
      </c>
      <c r="AO86" s="120">
        <v>0.1100000000000001</v>
      </c>
      <c r="AP86" s="120">
        <v>0.10999999999999988</v>
      </c>
      <c r="AQ86" s="120">
        <v>0.10200000000000009</v>
      </c>
      <c r="AR86" s="120">
        <v>0.10099999999999998</v>
      </c>
      <c r="AS86" s="120">
        <v>0.10099999999999998</v>
      </c>
      <c r="AT86" s="4">
        <v>0.13500000000000023</v>
      </c>
      <c r="AU86" s="4">
        <v>0.17799999999999994</v>
      </c>
    </row>
    <row r="87" spans="1:47" ht="6.95" customHeight="1">
      <c r="A87" s="314"/>
      <c r="B87" s="132" t="s">
        <v>440</v>
      </c>
      <c r="C87" s="112">
        <f>'2'!D32</f>
        <v>44726</v>
      </c>
      <c r="D87" s="116" t="str">
        <f>'2'!E32</f>
        <v>화</v>
      </c>
      <c r="E87" s="84">
        <f>'2'!S32</f>
        <v>1.327</v>
      </c>
      <c r="F87" s="53">
        <f>E87-'2(t-1)'!S32</f>
        <v>-2.0000000000000018E-3</v>
      </c>
      <c r="G87" s="15">
        <f>'2'!H32</f>
        <v>900000</v>
      </c>
      <c r="H87" s="217">
        <f>E83-E14</f>
        <v>0.12000000000000011</v>
      </c>
      <c r="I87" s="8"/>
      <c r="J87" s="34"/>
      <c r="K87" s="12"/>
      <c r="L87" s="13"/>
      <c r="M87" s="49"/>
      <c r="N87" s="49"/>
      <c r="O87" s="12"/>
      <c r="P87" s="12"/>
      <c r="Q87" s="73"/>
      <c r="R87" s="31"/>
      <c r="S87" s="41"/>
      <c r="Y87" s="37" t="s">
        <v>181</v>
      </c>
      <c r="Z87" s="120">
        <f>시평!M9-시평!M2</f>
        <v>0.10599999999999987</v>
      </c>
      <c r="AA87" s="120">
        <v>0.10600000000000009</v>
      </c>
      <c r="AB87" s="120">
        <v>0.10600000000000009</v>
      </c>
      <c r="AC87" s="120">
        <v>0.10600000000000009</v>
      </c>
      <c r="AD87" s="120">
        <v>0.10600000000000009</v>
      </c>
      <c r="AE87" s="120">
        <v>0.10799999999999987</v>
      </c>
      <c r="AF87" s="120">
        <v>0.11099999999999999</v>
      </c>
      <c r="AG87" s="120">
        <v>0.11199999999999988</v>
      </c>
      <c r="AH87" s="120">
        <v>0.1120000000000001</v>
      </c>
      <c r="AI87" s="120">
        <v>0.10399999999999987</v>
      </c>
      <c r="AJ87" s="120">
        <v>0.10499999999999998</v>
      </c>
      <c r="AK87" s="120">
        <v>0.10199999999999987</v>
      </c>
      <c r="AL87" s="120">
        <v>0.10199999999999987</v>
      </c>
      <c r="AM87" s="120">
        <v>0.10200000000000009</v>
      </c>
      <c r="AN87" s="120">
        <v>0.10299999999999998</v>
      </c>
      <c r="AO87" s="120">
        <v>0.1030000000000002</v>
      </c>
      <c r="AP87" s="120">
        <v>0.10299999999999998</v>
      </c>
      <c r="AQ87" s="120">
        <v>9.4999999999999973E-2</v>
      </c>
      <c r="AR87" s="120">
        <v>9.4000000000000083E-2</v>
      </c>
      <c r="AS87" s="120">
        <v>9.4000000000000083E-2</v>
      </c>
      <c r="AT87" s="4">
        <v>0.15599999999999969</v>
      </c>
      <c r="AU87" s="4">
        <v>0.14800000000000013</v>
      </c>
    </row>
    <row r="88" spans="1:47" ht="6.95" customHeight="1">
      <c r="A88" s="314"/>
      <c r="B88" s="132" t="s">
        <v>441</v>
      </c>
      <c r="C88" s="112">
        <f>'2'!D33</f>
        <v>44582</v>
      </c>
      <c r="D88" s="116" t="str">
        <f>'2'!E33</f>
        <v>금</v>
      </c>
      <c r="E88" s="84">
        <f>'2'!S33</f>
        <v>1.329</v>
      </c>
      <c r="F88" s="53">
        <f>E88-'2(t-1)'!S33</f>
        <v>9.9999999999988987E-4</v>
      </c>
      <c r="G88" s="15">
        <f>'2'!H33</f>
        <v>600000</v>
      </c>
      <c r="H88" s="141"/>
      <c r="I88" s="8"/>
      <c r="J88" s="34"/>
      <c r="K88" s="12"/>
      <c r="L88" s="13"/>
      <c r="M88" s="49"/>
      <c r="N88" s="49"/>
      <c r="O88" s="12"/>
      <c r="P88" s="12"/>
      <c r="Q88" s="73"/>
      <c r="R88" s="31"/>
      <c r="S88" s="41"/>
      <c r="Y88" s="37" t="s">
        <v>182</v>
      </c>
      <c r="Z88" s="120">
        <f>시평!I55-시평!I2</f>
        <v>0.371</v>
      </c>
      <c r="AA88" s="120">
        <v>0.36599999999999988</v>
      </c>
      <c r="AB88" s="120">
        <v>0.36599999999999988</v>
      </c>
      <c r="AC88" s="120">
        <v>0.36399999999999988</v>
      </c>
      <c r="AD88" s="120">
        <v>0.3620000000000001</v>
      </c>
      <c r="AE88" s="120">
        <v>0.35899999999999999</v>
      </c>
      <c r="AF88" s="120">
        <v>0.35999999999999988</v>
      </c>
      <c r="AG88" s="120">
        <v>0.35799999999999987</v>
      </c>
      <c r="AH88" s="120">
        <v>0.35499999999999998</v>
      </c>
      <c r="AI88" s="120">
        <v>0.3470000000000002</v>
      </c>
      <c r="AJ88" s="120">
        <v>0.3450000000000002</v>
      </c>
      <c r="AK88" s="120">
        <v>0.33800000000000008</v>
      </c>
      <c r="AL88" s="120">
        <v>0.33799999999999986</v>
      </c>
      <c r="AM88" s="120">
        <v>0.33699999999999997</v>
      </c>
      <c r="AN88" s="120">
        <v>0.33699999999999997</v>
      </c>
      <c r="AO88" s="120">
        <v>0.33400000000000007</v>
      </c>
      <c r="AP88" s="120">
        <v>0.33299999999999996</v>
      </c>
      <c r="AQ88" s="120">
        <v>0.32600000000000007</v>
      </c>
      <c r="AR88" s="120">
        <v>0.31800000000000006</v>
      </c>
      <c r="AS88" s="120">
        <v>0.31800000000000006</v>
      </c>
      <c r="AT88" s="4">
        <v>0.35399999999999987</v>
      </c>
      <c r="AU88" s="4">
        <v>0.29200000000000026</v>
      </c>
    </row>
    <row r="89" spans="1:47" ht="6.95" customHeight="1">
      <c r="A89" s="314"/>
      <c r="B89" s="132" t="s">
        <v>442</v>
      </c>
      <c r="C89" s="112">
        <f>'2'!D34</f>
        <v>44430</v>
      </c>
      <c r="D89" s="116" t="str">
        <f>'2'!E34</f>
        <v>일</v>
      </c>
      <c r="E89" s="84">
        <f>'2'!S34</f>
        <v>1.3440000000000001</v>
      </c>
      <c r="F89" s="53">
        <f>E89-'2(t-1)'!S34</f>
        <v>1.4000000000000012E-2</v>
      </c>
      <c r="G89" s="15">
        <f>'2'!H34</f>
        <v>450000</v>
      </c>
      <c r="H89" s="141" t="s">
        <v>198</v>
      </c>
      <c r="I89" s="8"/>
      <c r="J89" s="34"/>
      <c r="K89" s="12"/>
      <c r="L89" s="13"/>
      <c r="M89" s="49"/>
      <c r="N89" s="49"/>
      <c r="O89" s="12"/>
      <c r="P89" s="12"/>
      <c r="Q89" s="73"/>
      <c r="R89" s="31"/>
      <c r="S89" s="41"/>
      <c r="Y89" s="37" t="s">
        <v>183</v>
      </c>
      <c r="Z89" s="120">
        <f>시평!K55-시평!K2</f>
        <v>0.46700000000000008</v>
      </c>
      <c r="AA89" s="120">
        <v>0.46399999999999997</v>
      </c>
      <c r="AB89" s="120">
        <v>0.46500000000000008</v>
      </c>
      <c r="AC89" s="120">
        <v>0.45999999999999996</v>
      </c>
      <c r="AD89" s="120">
        <v>0.45999999999999996</v>
      </c>
      <c r="AE89" s="120">
        <v>0.45999999999999996</v>
      </c>
      <c r="AF89" s="120">
        <v>0.45999999999999996</v>
      </c>
      <c r="AG89" s="120">
        <v>0.46200000000000019</v>
      </c>
      <c r="AH89" s="120">
        <v>0.45999999999999996</v>
      </c>
      <c r="AI89" s="120">
        <v>0.45099999999999985</v>
      </c>
      <c r="AJ89" s="120">
        <v>0.45100000000000007</v>
      </c>
      <c r="AK89" s="120">
        <v>0.44300000000000006</v>
      </c>
      <c r="AL89" s="120">
        <v>0.44299999999999984</v>
      </c>
      <c r="AM89" s="120">
        <v>0.44399999999999995</v>
      </c>
      <c r="AN89" s="120">
        <v>0.44500000000000006</v>
      </c>
      <c r="AO89" s="120">
        <v>0.44599999999999995</v>
      </c>
      <c r="AP89" s="120">
        <v>0.44599999999999995</v>
      </c>
      <c r="AQ89" s="120">
        <v>0.43900000000000006</v>
      </c>
      <c r="AR89" s="120">
        <v>0.42999999999999994</v>
      </c>
      <c r="AS89" s="120">
        <v>0.42999999999999994</v>
      </c>
      <c r="AT89" s="4">
        <v>0.4910000000000001</v>
      </c>
      <c r="AU89" s="4">
        <v>0.41799999999999971</v>
      </c>
    </row>
    <row r="90" spans="1:47" ht="6.95" customHeight="1">
      <c r="A90" s="314"/>
      <c r="B90" s="132" t="s">
        <v>443</v>
      </c>
      <c r="C90" s="112">
        <f>'2'!D35</f>
        <v>44344</v>
      </c>
      <c r="D90" s="116" t="str">
        <f>'2'!E35</f>
        <v>금</v>
      </c>
      <c r="E90" s="84">
        <f>'2'!S35</f>
        <v>1.331</v>
      </c>
      <c r="F90" s="53">
        <f>E90-'2(t-1)'!S35</f>
        <v>1.0000000000000009E-2</v>
      </c>
      <c r="G90" s="15">
        <f>'2'!H35</f>
        <v>400000</v>
      </c>
      <c r="H90" s="140" t="s">
        <v>199</v>
      </c>
      <c r="I90" s="8"/>
      <c r="J90" s="34"/>
      <c r="K90" s="12"/>
      <c r="L90" s="13"/>
      <c r="M90" s="49"/>
      <c r="N90" s="49"/>
      <c r="O90" s="12"/>
      <c r="P90" s="12"/>
      <c r="Q90" s="73"/>
      <c r="R90" s="31"/>
      <c r="S90" s="41"/>
      <c r="Y90" s="37" t="s">
        <v>186</v>
      </c>
      <c r="Z90" s="120">
        <f>시평!G32-시평!I2</f>
        <v>0.32400000000000007</v>
      </c>
      <c r="AA90" s="120">
        <v>0.30299999999999994</v>
      </c>
      <c r="AB90" s="120">
        <v>0.31599999999999984</v>
      </c>
      <c r="AC90" s="120">
        <v>0.29400000000000004</v>
      </c>
      <c r="AD90" s="120">
        <v>0.28800000000000003</v>
      </c>
      <c r="AE90" s="120">
        <v>0.2629999999999999</v>
      </c>
      <c r="AF90" s="120">
        <v>0.27</v>
      </c>
      <c r="AG90" s="120">
        <v>0.2629999999999999</v>
      </c>
      <c r="AH90" s="120">
        <v>0.25499999999999989</v>
      </c>
      <c r="AI90" s="120">
        <v>0.24199999999999999</v>
      </c>
      <c r="AJ90" s="120">
        <v>0.23599999999999999</v>
      </c>
      <c r="AK90" s="120">
        <v>0.22100000000000009</v>
      </c>
      <c r="AL90" s="120">
        <v>0.21299999999999986</v>
      </c>
      <c r="AM90" s="120">
        <v>0.21099999999999985</v>
      </c>
      <c r="AN90" s="120">
        <v>0.22500000000000009</v>
      </c>
      <c r="AO90" s="120">
        <v>0.22299999999999986</v>
      </c>
      <c r="AP90" s="120">
        <v>0.22399999999999998</v>
      </c>
      <c r="AQ90" s="120">
        <v>0.21500000000000008</v>
      </c>
      <c r="AR90" s="120">
        <v>0.20600000000000018</v>
      </c>
      <c r="AS90" s="120">
        <v>0.20799999999999996</v>
      </c>
      <c r="AT90" s="4">
        <v>0.17100000000000004</v>
      </c>
      <c r="AU90" s="4">
        <v>0.1180000000000001</v>
      </c>
    </row>
    <row r="91" spans="1:47" ht="6.95" customHeight="1">
      <c r="A91" s="314"/>
      <c r="B91" s="132" t="s">
        <v>444</v>
      </c>
      <c r="C91" s="112">
        <f>'2'!D36</f>
        <v>44333</v>
      </c>
      <c r="D91" s="116" t="str">
        <f>'2'!E36</f>
        <v>월</v>
      </c>
      <c r="E91" s="84">
        <f>'2'!S36</f>
        <v>1.329</v>
      </c>
      <c r="F91" s="53">
        <f>E91-'2(t-1)'!S36</f>
        <v>8.999999999999897E-3</v>
      </c>
      <c r="G91" s="15">
        <f>'2'!H36</f>
        <v>900000</v>
      </c>
      <c r="H91" s="218">
        <f>E87-E7</f>
        <v>0.15199999999999991</v>
      </c>
      <c r="I91" s="8"/>
      <c r="J91" s="34"/>
      <c r="K91" s="12"/>
      <c r="L91" s="13"/>
      <c r="M91" s="49"/>
      <c r="N91" s="49"/>
      <c r="O91" s="12"/>
      <c r="P91" s="12"/>
      <c r="Q91" s="73"/>
      <c r="R91" s="31"/>
      <c r="S91" s="41"/>
      <c r="U91" s="8"/>
      <c r="Y91" s="37" t="s">
        <v>185</v>
      </c>
      <c r="Z91" s="120">
        <f>시평!I32-시평!I2</f>
        <v>0.31600000000000006</v>
      </c>
      <c r="AA91" s="120">
        <v>0.31099999999999994</v>
      </c>
      <c r="AB91" s="120">
        <v>0.30699999999999994</v>
      </c>
      <c r="AC91" s="120">
        <v>0.29899999999999993</v>
      </c>
      <c r="AD91" s="120">
        <v>0.29800000000000004</v>
      </c>
      <c r="AE91" s="120">
        <v>0.29299999999999993</v>
      </c>
      <c r="AF91" s="120">
        <v>0.29199999999999982</v>
      </c>
      <c r="AG91" s="120">
        <v>0.28299999999999992</v>
      </c>
      <c r="AH91" s="120">
        <v>0.27400000000000002</v>
      </c>
      <c r="AI91" s="120">
        <v>0.26300000000000012</v>
      </c>
      <c r="AJ91" s="120">
        <v>0.25800000000000001</v>
      </c>
      <c r="AK91" s="120">
        <v>0.24700000000000011</v>
      </c>
      <c r="AL91" s="120">
        <v>0.23699999999999988</v>
      </c>
      <c r="AM91" s="120">
        <v>0.23399999999999999</v>
      </c>
      <c r="AN91" s="120">
        <v>0.24</v>
      </c>
      <c r="AO91" s="120">
        <v>0.23599999999999999</v>
      </c>
      <c r="AP91" s="120">
        <v>0.23599999999999999</v>
      </c>
      <c r="AQ91" s="120">
        <v>0.22900000000000009</v>
      </c>
      <c r="AR91" s="120">
        <v>0.22999999999999998</v>
      </c>
      <c r="AS91" s="120">
        <v>0.2330000000000001</v>
      </c>
      <c r="AT91" s="4">
        <v>0.29099999999999993</v>
      </c>
      <c r="AU91" s="4">
        <v>0.21799999999999997</v>
      </c>
    </row>
    <row r="92" spans="1:47" ht="6.95" customHeight="1">
      <c r="A92" s="314"/>
      <c r="B92" s="132" t="s">
        <v>445</v>
      </c>
      <c r="C92" s="112">
        <f>'2'!D37</f>
        <v>44248</v>
      </c>
      <c r="D92" s="116" t="str">
        <f>'2'!E37</f>
        <v>일</v>
      </c>
      <c r="E92" s="84">
        <f>'2'!S37</f>
        <v>1.319</v>
      </c>
      <c r="F92" s="53">
        <f>E92-'2(t-1)'!S37</f>
        <v>4.9999999999998934E-3</v>
      </c>
      <c r="G92" s="15">
        <f>'2'!H37</f>
        <v>280000</v>
      </c>
      <c r="H92" s="139"/>
      <c r="I92" s="8"/>
      <c r="J92" s="34"/>
      <c r="K92" s="12"/>
      <c r="L92" s="13"/>
      <c r="M92" s="49"/>
      <c r="N92" s="49"/>
      <c r="O92" s="12"/>
      <c r="P92" s="12"/>
      <c r="Q92" s="73"/>
      <c r="R92" s="31"/>
      <c r="S92" s="41"/>
      <c r="U92" s="10"/>
      <c r="Y92" s="26" t="s">
        <v>184</v>
      </c>
      <c r="Z92" s="121">
        <f>시가평가표!I24-시가평가표!C10</f>
        <v>8.2000000000000073E-2</v>
      </c>
      <c r="AA92" s="121">
        <v>8.4999999999999964E-2</v>
      </c>
      <c r="AB92" s="127">
        <v>8.8999999999999968E-2</v>
      </c>
      <c r="AC92" s="252">
        <v>8.8999999999999968E-2</v>
      </c>
      <c r="AD92" s="129">
        <v>9.6999999999999975E-2</v>
      </c>
      <c r="AE92" s="128">
        <v>9.4000000000000083E-2</v>
      </c>
      <c r="AF92" s="121">
        <v>9.6000000000000085E-2</v>
      </c>
      <c r="AG92" s="121">
        <v>9.4999999999999973E-2</v>
      </c>
      <c r="AH92" s="121">
        <v>9.099999999999997E-2</v>
      </c>
      <c r="AI92" s="121">
        <v>8.4000000000000075E-2</v>
      </c>
      <c r="AJ92" s="121">
        <v>8.6000000000000076E-2</v>
      </c>
      <c r="AK92" s="121">
        <v>8.6000000000000076E-2</v>
      </c>
      <c r="AL92" s="121">
        <v>8.4000000000000075E-2</v>
      </c>
      <c r="AM92" s="121">
        <v>8.2999999999999963E-2</v>
      </c>
      <c r="AN92" s="121">
        <v>8.2999999999999963E-2</v>
      </c>
      <c r="AO92" s="121">
        <v>7.6000000000000068E-2</v>
      </c>
      <c r="AP92" s="121">
        <v>7.4999999999999956E-2</v>
      </c>
      <c r="AQ92" s="121">
        <v>4.4000000000000039E-2</v>
      </c>
      <c r="AR92" s="121">
        <v>4.0000000000000036E-3</v>
      </c>
      <c r="AS92" s="121">
        <v>1.8999999999999906E-2</v>
      </c>
      <c r="AT92" s="4">
        <v>5.4000000000000048E-2</v>
      </c>
    </row>
    <row r="93" spans="1:47" ht="6.95" customHeight="1">
      <c r="A93" s="314"/>
      <c r="B93" s="132" t="s">
        <v>446</v>
      </c>
      <c r="C93" s="112">
        <f>'2'!D38</f>
        <v>44214</v>
      </c>
      <c r="D93" s="116" t="str">
        <f>'2'!E38</f>
        <v>월</v>
      </c>
      <c r="E93" s="84">
        <f>'2'!S38</f>
        <v>1.3140000000000001</v>
      </c>
      <c r="F93" s="53">
        <f>E93-'2(t-1)'!S38</f>
        <v>5.0000000000001155E-3</v>
      </c>
      <c r="G93" s="15">
        <f>'2'!H38</f>
        <v>440000</v>
      </c>
      <c r="H93" s="138"/>
      <c r="I93" s="8"/>
      <c r="J93" s="12"/>
      <c r="K93" s="12"/>
      <c r="L93" s="13"/>
      <c r="M93" s="49"/>
      <c r="N93" s="49"/>
      <c r="O93" s="12"/>
      <c r="P93" s="12"/>
      <c r="Q93" s="73"/>
      <c r="R93" s="31"/>
      <c r="S93" s="34"/>
      <c r="U93" s="10"/>
      <c r="Y93" s="87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</row>
    <row r="94" spans="1:47" ht="6.95" customHeight="1">
      <c r="A94" s="314"/>
      <c r="B94" s="132" t="s">
        <v>447</v>
      </c>
      <c r="C94" s="112">
        <f>'2'!D39</f>
        <v>44122</v>
      </c>
      <c r="D94" s="116" t="str">
        <f>'2'!E39</f>
        <v>일</v>
      </c>
      <c r="E94" s="84">
        <f>'2'!S39</f>
        <v>1.304</v>
      </c>
      <c r="F94" s="53">
        <f>E94-'2(t-1)'!S39</f>
        <v>5.0000000000001155E-3</v>
      </c>
      <c r="G94" s="15">
        <f>'2'!H39</f>
        <v>290000</v>
      </c>
      <c r="H94" s="142"/>
      <c r="I94" s="8"/>
      <c r="J94" s="12"/>
      <c r="S94" s="34"/>
      <c r="U94" s="10"/>
      <c r="Y94" s="87"/>
      <c r="Z94" s="88"/>
      <c r="AA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</row>
    <row r="95" spans="1:47" ht="6.95" customHeight="1">
      <c r="A95" s="314"/>
      <c r="B95" s="132" t="s">
        <v>448</v>
      </c>
      <c r="C95" s="112">
        <f>'2'!D40</f>
        <v>43950</v>
      </c>
      <c r="D95" s="116" t="str">
        <f>'2'!E40</f>
        <v>수</v>
      </c>
      <c r="E95" s="84">
        <f>'2'!S40</f>
        <v>1.3009999999999999</v>
      </c>
      <c r="F95" s="53">
        <f>E95-'2(t-1)'!S40</f>
        <v>4.0000000000000036E-3</v>
      </c>
      <c r="G95" s="15">
        <f>'2'!H40</f>
        <v>1000000</v>
      </c>
      <c r="H95" s="142"/>
      <c r="I95" s="8"/>
      <c r="J95" s="12"/>
      <c r="S95" s="34"/>
      <c r="U95" s="8"/>
    </row>
    <row r="96" spans="1:47" ht="6.95" customHeight="1">
      <c r="A96" s="314"/>
      <c r="B96" s="132" t="s">
        <v>449</v>
      </c>
      <c r="C96" s="112">
        <f>'2'!D41</f>
        <v>43908</v>
      </c>
      <c r="D96" s="116" t="str">
        <f>'2'!E41</f>
        <v>수</v>
      </c>
      <c r="E96" s="84">
        <f>'2'!S41</f>
        <v>1.3109999999999999</v>
      </c>
      <c r="F96" s="53">
        <f>E96-'2(t-1)'!S41</f>
        <v>2.9999999999998916E-3</v>
      </c>
      <c r="G96" s="15">
        <f>'2'!H41</f>
        <v>1210000</v>
      </c>
      <c r="H96" s="142"/>
      <c r="I96" s="8"/>
      <c r="J96" s="12"/>
      <c r="S96" s="34"/>
      <c r="U96" s="8"/>
    </row>
    <row r="97" spans="1:45" ht="6.4" customHeight="1">
      <c r="A97" s="315"/>
      <c r="B97" s="98" t="s">
        <v>450</v>
      </c>
      <c r="C97" s="104">
        <f>'2'!D42</f>
        <v>43865</v>
      </c>
      <c r="D97" s="106" t="str">
        <f>'2'!E42</f>
        <v>화</v>
      </c>
      <c r="E97" s="85">
        <f>'2'!S42</f>
        <v>1.325</v>
      </c>
      <c r="F97" s="99">
        <f>E97-'2(t-1)'!S42</f>
        <v>2.0000000000000018E-3</v>
      </c>
      <c r="G97" s="115">
        <f>'2'!H42</f>
        <v>920000</v>
      </c>
      <c r="H97" s="143"/>
      <c r="I97" s="13"/>
      <c r="U97" s="10"/>
      <c r="Z97" s="95"/>
      <c r="AA97" s="28"/>
    </row>
    <row r="98" spans="1:45" ht="3" customHeight="1">
      <c r="A98" s="251"/>
      <c r="B98" s="34"/>
      <c r="C98" s="249"/>
      <c r="D98" s="35"/>
      <c r="E98" s="250"/>
      <c r="F98" s="250"/>
      <c r="G98" s="33"/>
      <c r="H98" s="34"/>
      <c r="I98" s="13"/>
      <c r="U98" s="10"/>
      <c r="Z98" s="95"/>
      <c r="AA98" s="28"/>
    </row>
    <row r="99" spans="1:45" ht="3.75" customHeight="1">
      <c r="A99" s="13"/>
      <c r="B99" s="34"/>
      <c r="C99" s="249"/>
      <c r="D99" s="35"/>
      <c r="E99" s="250"/>
      <c r="F99" s="250"/>
      <c r="G99" s="33"/>
      <c r="H99" s="16"/>
      <c r="I99" s="13"/>
      <c r="U99" s="10"/>
      <c r="Z99" s="95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95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92"/>
      <c r="AA101" s="92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82"/>
      <c r="L120" s="282"/>
      <c r="M120" s="282"/>
      <c r="N120" s="282"/>
      <c r="O120" s="282"/>
      <c r="P120" s="282"/>
      <c r="Q120" s="282"/>
      <c r="R120" s="282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95"/>
      <c r="B121" s="195"/>
      <c r="C121" s="195"/>
      <c r="D121" s="196"/>
      <c r="E121" s="196"/>
      <c r="F121" s="197"/>
      <c r="G121" s="197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98" customFormat="1" ht="6.4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207"/>
      <c r="K122" s="207"/>
      <c r="L122" s="208"/>
      <c r="M122" s="209"/>
      <c r="N122" s="209"/>
      <c r="O122" s="207"/>
      <c r="P122" s="207"/>
      <c r="Q122" s="210"/>
      <c r="R122" s="211"/>
      <c r="S122" s="168"/>
    </row>
    <row r="123" spans="1:45" ht="6.4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46:A57"/>
    <mergeCell ref="A58:A63"/>
    <mergeCell ref="A75:A77"/>
    <mergeCell ref="A68:A74"/>
    <mergeCell ref="A83:A97"/>
    <mergeCell ref="A64:A65"/>
    <mergeCell ref="A78:A8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Z275"/>
  <sheetViews>
    <sheetView topLeftCell="A82" zoomScaleNormal="100" workbookViewId="0">
      <selection sqref="A1:IV65536"/>
    </sheetView>
  </sheetViews>
  <sheetFormatPr defaultRowHeight="13.5"/>
  <cols>
    <col min="1" max="16384" width="8.88671875" style="81"/>
  </cols>
  <sheetData>
    <row r="1" spans="1:26" ht="16.5">
      <c r="A1" s="81" t="s">
        <v>0</v>
      </c>
      <c r="B1" s="81" t="s">
        <v>12</v>
      </c>
      <c r="C1" s="81" t="s">
        <v>13</v>
      </c>
      <c r="D1" s="81" t="s">
        <v>279</v>
      </c>
      <c r="E1" s="81" t="s">
        <v>13</v>
      </c>
      <c r="F1" s="81" t="s">
        <v>14</v>
      </c>
      <c r="G1" s="81" t="s">
        <v>15</v>
      </c>
      <c r="H1" s="81" t="s">
        <v>16</v>
      </c>
      <c r="I1" s="81" t="s">
        <v>17</v>
      </c>
      <c r="J1" s="81" t="s">
        <v>18</v>
      </c>
      <c r="K1" s="81" t="s">
        <v>19</v>
      </c>
      <c r="L1" s="81" t="s">
        <v>20</v>
      </c>
      <c r="M1" s="81" t="s">
        <v>21</v>
      </c>
      <c r="N1" s="81" t="s">
        <v>22</v>
      </c>
      <c r="O1" s="81" t="s">
        <v>23</v>
      </c>
      <c r="P1" s="81" t="s">
        <v>24</v>
      </c>
      <c r="Q1" s="81" t="s">
        <v>25</v>
      </c>
      <c r="R1" s="81" t="s">
        <v>26</v>
      </c>
      <c r="S1" s="81" t="s">
        <v>200</v>
      </c>
      <c r="T1" s="81" t="s">
        <v>27</v>
      </c>
      <c r="U1" s="81" t="s">
        <v>28</v>
      </c>
      <c r="V1" s="81" t="s">
        <v>29</v>
      </c>
      <c r="W1" s="81" t="s">
        <v>201</v>
      </c>
      <c r="X1" s="81" t="s">
        <v>30</v>
      </c>
      <c r="Y1" s="81" t="s">
        <v>31</v>
      </c>
      <c r="Z1" s="81" t="s">
        <v>32</v>
      </c>
    </row>
    <row r="2" spans="1:26" ht="16.5">
      <c r="A2" s="81" t="s">
        <v>473</v>
      </c>
      <c r="B2" s="82">
        <v>43626</v>
      </c>
      <c r="C2" s="81" t="s">
        <v>40</v>
      </c>
      <c r="D2" s="82">
        <v>44722</v>
      </c>
      <c r="E2" s="81" t="s">
        <v>10</v>
      </c>
      <c r="F2" s="81" t="s">
        <v>787</v>
      </c>
      <c r="G2" s="83">
        <v>7990000</v>
      </c>
      <c r="H2" s="83">
        <v>7990000</v>
      </c>
      <c r="I2" s="81" t="s">
        <v>33</v>
      </c>
      <c r="J2" s="81">
        <v>6</v>
      </c>
      <c r="K2" s="81">
        <v>1.625</v>
      </c>
      <c r="L2" s="81" t="s">
        <v>34</v>
      </c>
      <c r="M2" s="81" t="s">
        <v>34</v>
      </c>
      <c r="N2" s="81" t="s">
        <v>35</v>
      </c>
      <c r="O2" s="81" t="s">
        <v>36</v>
      </c>
      <c r="P2" s="81" t="s">
        <v>37</v>
      </c>
      <c r="Q2" s="81" t="s">
        <v>38</v>
      </c>
      <c r="R2" s="81" t="s">
        <v>39</v>
      </c>
      <c r="S2" s="81">
        <v>1.175</v>
      </c>
      <c r="T2" s="81">
        <v>10158.200000000001</v>
      </c>
      <c r="U2" s="81">
        <v>10122.69</v>
      </c>
      <c r="V2" s="81" t="s">
        <v>60</v>
      </c>
      <c r="W2" s="81">
        <v>1010000</v>
      </c>
      <c r="X2" s="81">
        <v>2.7073999999999998</v>
      </c>
      <c r="Y2" s="81">
        <v>2.7214999999999998</v>
      </c>
      <c r="Z2" s="81" t="s">
        <v>474</v>
      </c>
    </row>
    <row r="3" spans="1:26" ht="16.5">
      <c r="A3" s="81" t="s">
        <v>430</v>
      </c>
      <c r="B3" s="82">
        <v>43444</v>
      </c>
      <c r="C3" s="81" t="s">
        <v>40</v>
      </c>
      <c r="D3" s="82">
        <v>44540</v>
      </c>
      <c r="E3" s="81" t="s">
        <v>10</v>
      </c>
      <c r="F3" s="81" t="s">
        <v>788</v>
      </c>
      <c r="G3" s="83">
        <v>9943000</v>
      </c>
      <c r="H3" s="83">
        <v>9943000</v>
      </c>
      <c r="I3" s="81" t="s">
        <v>33</v>
      </c>
      <c r="J3" s="81">
        <v>6</v>
      </c>
      <c r="K3" s="81">
        <v>2</v>
      </c>
      <c r="L3" s="81" t="s">
        <v>34</v>
      </c>
      <c r="M3" s="81" t="s">
        <v>34</v>
      </c>
      <c r="N3" s="81" t="s">
        <v>35</v>
      </c>
      <c r="O3" s="81" t="s">
        <v>36</v>
      </c>
      <c r="P3" s="81" t="s">
        <v>37</v>
      </c>
      <c r="Q3" s="81" t="s">
        <v>38</v>
      </c>
      <c r="R3" s="81" t="s">
        <v>39</v>
      </c>
      <c r="S3" s="81">
        <v>1.2010000000000001</v>
      </c>
      <c r="T3" s="81">
        <v>10222.799999999999</v>
      </c>
      <c r="U3" s="81">
        <v>10178.94</v>
      </c>
      <c r="V3" s="81" t="s">
        <v>60</v>
      </c>
      <c r="W3" s="81">
        <v>1010000</v>
      </c>
      <c r="X3" s="81">
        <v>2.2206000000000001</v>
      </c>
      <c r="Y3" s="81">
        <v>2.2336999999999998</v>
      </c>
      <c r="Z3" s="81" t="s">
        <v>431</v>
      </c>
    </row>
    <row r="4" spans="1:26" ht="16.5">
      <c r="A4" s="81" t="s">
        <v>350</v>
      </c>
      <c r="B4" s="82">
        <v>43261</v>
      </c>
      <c r="C4" s="81" t="s">
        <v>13</v>
      </c>
      <c r="D4" s="82">
        <v>44357</v>
      </c>
      <c r="E4" s="81" t="s">
        <v>4</v>
      </c>
      <c r="F4" s="81" t="s">
        <v>789</v>
      </c>
      <c r="G4" s="83">
        <v>9469000</v>
      </c>
      <c r="H4" s="83">
        <v>9469000</v>
      </c>
      <c r="I4" s="81" t="s">
        <v>33</v>
      </c>
      <c r="J4" s="81">
        <v>6</v>
      </c>
      <c r="K4" s="81">
        <v>2.25</v>
      </c>
      <c r="L4" s="81" t="s">
        <v>34</v>
      </c>
      <c r="M4" s="81" t="s">
        <v>34</v>
      </c>
      <c r="N4" s="81" t="s">
        <v>35</v>
      </c>
      <c r="O4" s="81" t="s">
        <v>36</v>
      </c>
      <c r="P4" s="81" t="s">
        <v>37</v>
      </c>
      <c r="Q4" s="81" t="s">
        <v>38</v>
      </c>
      <c r="R4" s="81" t="s">
        <v>39</v>
      </c>
      <c r="S4" s="81">
        <v>1.2</v>
      </c>
      <c r="T4" s="81">
        <v>10233.56</v>
      </c>
      <c r="U4" s="81">
        <v>10184.379999999999</v>
      </c>
      <c r="V4" s="81" t="s">
        <v>60</v>
      </c>
      <c r="W4" s="81">
        <v>1010000</v>
      </c>
      <c r="X4" s="81">
        <v>1.7391000000000001</v>
      </c>
      <c r="Y4" s="81">
        <v>1.7481</v>
      </c>
      <c r="Z4" s="81" t="s">
        <v>351</v>
      </c>
    </row>
    <row r="5" spans="1:26" ht="16.5">
      <c r="A5" s="81" t="s">
        <v>320</v>
      </c>
      <c r="B5" s="82">
        <v>43079</v>
      </c>
      <c r="C5" s="81" t="s">
        <v>13</v>
      </c>
      <c r="D5" s="82">
        <v>44175</v>
      </c>
      <c r="E5" s="81" t="s">
        <v>4</v>
      </c>
      <c r="F5" s="81" t="s">
        <v>790</v>
      </c>
      <c r="G5" s="83">
        <v>10705000</v>
      </c>
      <c r="H5" s="83">
        <v>10595000</v>
      </c>
      <c r="I5" s="81" t="s">
        <v>33</v>
      </c>
      <c r="J5" s="81">
        <v>6</v>
      </c>
      <c r="K5" s="81">
        <v>1.75</v>
      </c>
      <c r="L5" s="81" t="s">
        <v>34</v>
      </c>
      <c r="M5" s="81" t="s">
        <v>34</v>
      </c>
      <c r="N5" s="81" t="s">
        <v>35</v>
      </c>
      <c r="O5" s="81" t="s">
        <v>36</v>
      </c>
      <c r="P5" s="81" t="s">
        <v>37</v>
      </c>
      <c r="Q5" s="81" t="s">
        <v>38</v>
      </c>
      <c r="R5" s="81" t="s">
        <v>39</v>
      </c>
      <c r="S5" s="81">
        <v>1.1559999999999999</v>
      </c>
      <c r="T5" s="81">
        <v>10113.39</v>
      </c>
      <c r="U5" s="81">
        <v>10075.36</v>
      </c>
      <c r="V5" s="81" t="s">
        <v>60</v>
      </c>
      <c r="W5" s="81">
        <v>1010000</v>
      </c>
      <c r="X5" s="81">
        <v>1.262</v>
      </c>
      <c r="Y5" s="81">
        <v>1.2692000000000001</v>
      </c>
      <c r="Z5" s="81" t="s">
        <v>321</v>
      </c>
    </row>
    <row r="6" spans="1:26" ht="16.5">
      <c r="A6" s="81" t="s">
        <v>298</v>
      </c>
      <c r="B6" s="82">
        <v>42896</v>
      </c>
      <c r="C6" s="81" t="s">
        <v>11</v>
      </c>
      <c r="D6" s="82">
        <v>43992</v>
      </c>
      <c r="E6" s="81" t="s">
        <v>5</v>
      </c>
      <c r="F6" s="81" t="s">
        <v>791</v>
      </c>
      <c r="G6" s="83">
        <v>9423000</v>
      </c>
      <c r="H6" s="83">
        <v>7539000</v>
      </c>
      <c r="I6" s="81" t="s">
        <v>33</v>
      </c>
      <c r="J6" s="81">
        <v>6</v>
      </c>
      <c r="K6" s="81">
        <v>1.75</v>
      </c>
      <c r="L6" s="81" t="s">
        <v>34</v>
      </c>
      <c r="M6" s="81" t="s">
        <v>34</v>
      </c>
      <c r="N6" s="81" t="s">
        <v>35</v>
      </c>
      <c r="O6" s="81" t="s">
        <v>36</v>
      </c>
      <c r="P6" s="81" t="s">
        <v>37</v>
      </c>
      <c r="Q6" s="81" t="s">
        <v>38</v>
      </c>
      <c r="R6" s="81" t="s">
        <v>39</v>
      </c>
      <c r="S6" s="81">
        <v>1.135</v>
      </c>
      <c r="T6" s="81">
        <v>10085.86</v>
      </c>
      <c r="U6" s="81">
        <v>10048.39</v>
      </c>
      <c r="V6" s="81" t="s">
        <v>60</v>
      </c>
      <c r="W6" s="81">
        <v>1010000</v>
      </c>
      <c r="X6" s="81">
        <v>0.77339999999999998</v>
      </c>
      <c r="Y6" s="81">
        <v>0.77700000000000002</v>
      </c>
      <c r="Z6" s="81" t="s">
        <v>299</v>
      </c>
    </row>
    <row r="7" spans="1:26" ht="16.5">
      <c r="A7" s="81" t="s">
        <v>282</v>
      </c>
      <c r="B7" s="82">
        <v>42714</v>
      </c>
      <c r="C7" s="81" t="s">
        <v>11</v>
      </c>
      <c r="D7" s="82">
        <v>43809</v>
      </c>
      <c r="E7" s="81" t="s">
        <v>6</v>
      </c>
      <c r="F7" s="81" t="s">
        <v>657</v>
      </c>
      <c r="G7" s="83">
        <v>11710000</v>
      </c>
      <c r="H7" s="83">
        <v>6599000</v>
      </c>
      <c r="I7" s="81" t="s">
        <v>33</v>
      </c>
      <c r="J7" s="81">
        <v>6</v>
      </c>
      <c r="K7" s="81">
        <v>1.25</v>
      </c>
      <c r="L7" s="81" t="s">
        <v>34</v>
      </c>
      <c r="M7" s="81" t="s">
        <v>34</v>
      </c>
      <c r="N7" s="81" t="s">
        <v>35</v>
      </c>
      <c r="O7" s="81" t="s">
        <v>36</v>
      </c>
      <c r="P7" s="81" t="s">
        <v>37</v>
      </c>
      <c r="Q7" s="81" t="s">
        <v>38</v>
      </c>
      <c r="R7" s="81" t="s">
        <v>39</v>
      </c>
      <c r="S7" s="81">
        <v>1.198</v>
      </c>
      <c r="T7" s="81">
        <v>10028.67</v>
      </c>
      <c r="U7" s="81">
        <v>10001.450000000001</v>
      </c>
      <c r="V7" s="81" t="s">
        <v>60</v>
      </c>
      <c r="W7" s="81">
        <v>1010000</v>
      </c>
      <c r="X7" s="81">
        <v>0.28039999999999998</v>
      </c>
      <c r="Y7" s="81">
        <v>0.28139999999999998</v>
      </c>
      <c r="Z7" s="81" t="s">
        <v>283</v>
      </c>
    </row>
    <row r="8" spans="1:26" ht="16.5">
      <c r="A8" s="81" t="s">
        <v>34</v>
      </c>
      <c r="B8" s="81" t="s">
        <v>34</v>
      </c>
      <c r="D8" s="81" t="s">
        <v>34</v>
      </c>
      <c r="F8" s="81" t="s">
        <v>34</v>
      </c>
      <c r="G8" s="81" t="s">
        <v>34</v>
      </c>
      <c r="H8" s="81" t="s">
        <v>34</v>
      </c>
      <c r="I8" s="81" t="s">
        <v>34</v>
      </c>
      <c r="J8" s="81" t="s">
        <v>34</v>
      </c>
      <c r="K8" s="81">
        <v>1.5</v>
      </c>
      <c r="L8" s="81" t="s">
        <v>34</v>
      </c>
      <c r="M8" s="81" t="s">
        <v>34</v>
      </c>
      <c r="N8" s="81" t="s">
        <v>35</v>
      </c>
      <c r="O8" s="81" t="s">
        <v>34</v>
      </c>
      <c r="P8" s="81" t="s">
        <v>271</v>
      </c>
      <c r="Q8" s="81" t="s">
        <v>34</v>
      </c>
      <c r="R8" s="81" t="s">
        <v>34</v>
      </c>
      <c r="S8" s="81" t="s">
        <v>34</v>
      </c>
      <c r="T8" s="81" t="s">
        <v>34</v>
      </c>
      <c r="V8" s="81" t="s">
        <v>34</v>
      </c>
      <c r="W8" s="81" t="s">
        <v>34</v>
      </c>
      <c r="X8" s="81" t="s">
        <v>34</v>
      </c>
      <c r="Y8" s="81" t="s">
        <v>34</v>
      </c>
      <c r="Z8" s="81" t="s">
        <v>34</v>
      </c>
    </row>
    <row r="9" spans="1:26" ht="16.5">
      <c r="A9" s="81" t="s">
        <v>529</v>
      </c>
      <c r="B9" s="82">
        <v>43718</v>
      </c>
      <c r="C9" s="81" t="s">
        <v>6</v>
      </c>
      <c r="D9" s="82">
        <v>45545</v>
      </c>
      <c r="E9" s="81" t="s">
        <v>6</v>
      </c>
      <c r="F9" s="81" t="s">
        <v>792</v>
      </c>
      <c r="G9" s="83">
        <v>1234000</v>
      </c>
      <c r="H9" s="83">
        <v>1234000</v>
      </c>
      <c r="I9" s="81" t="s">
        <v>33</v>
      </c>
      <c r="J9" s="81">
        <v>6</v>
      </c>
      <c r="K9" s="81">
        <v>1.375</v>
      </c>
      <c r="L9" s="81" t="s">
        <v>34</v>
      </c>
      <c r="M9" s="81" t="s">
        <v>34</v>
      </c>
      <c r="N9" s="81" t="s">
        <v>35</v>
      </c>
      <c r="O9" s="81" t="s">
        <v>36</v>
      </c>
      <c r="P9" s="81" t="s">
        <v>37</v>
      </c>
      <c r="Q9" s="81" t="s">
        <v>38</v>
      </c>
      <c r="R9" s="81" t="s">
        <v>39</v>
      </c>
      <c r="S9" s="81">
        <v>1.1910000000000001</v>
      </c>
      <c r="T9" s="81">
        <v>10084.969999999999</v>
      </c>
      <c r="U9" s="81">
        <v>10084.65</v>
      </c>
      <c r="V9" s="81" t="s">
        <v>60</v>
      </c>
      <c r="W9" s="81">
        <v>1010000</v>
      </c>
      <c r="X9" s="81">
        <v>4.8563999999999998</v>
      </c>
      <c r="Y9" s="81">
        <v>4.8826999999999998</v>
      </c>
      <c r="Z9" s="81" t="s">
        <v>530</v>
      </c>
    </row>
    <row r="10" spans="1:26" ht="16.5">
      <c r="A10" s="81" t="s">
        <v>456</v>
      </c>
      <c r="B10" s="82">
        <v>43534</v>
      </c>
      <c r="C10" s="81" t="s">
        <v>13</v>
      </c>
      <c r="D10" s="82">
        <v>45361</v>
      </c>
      <c r="E10" s="81" t="s">
        <v>13</v>
      </c>
      <c r="F10" s="81" t="s">
        <v>793</v>
      </c>
      <c r="G10" s="83">
        <v>10675000</v>
      </c>
      <c r="H10" s="83">
        <v>10675000</v>
      </c>
      <c r="I10" s="81" t="s">
        <v>33</v>
      </c>
      <c r="J10" s="81">
        <v>6</v>
      </c>
      <c r="K10" s="81">
        <v>1.875</v>
      </c>
      <c r="L10" s="81" t="s">
        <v>34</v>
      </c>
      <c r="M10" s="81" t="s">
        <v>34</v>
      </c>
      <c r="N10" s="81" t="s">
        <v>35</v>
      </c>
      <c r="O10" s="81" t="s">
        <v>36</v>
      </c>
      <c r="P10" s="81" t="s">
        <v>37</v>
      </c>
      <c r="Q10" s="81" t="s">
        <v>38</v>
      </c>
      <c r="R10" s="81" t="s">
        <v>39</v>
      </c>
      <c r="S10" s="81">
        <v>1.21</v>
      </c>
      <c r="T10" s="81">
        <v>10380.040000000001</v>
      </c>
      <c r="U10" s="81">
        <v>10292.41</v>
      </c>
      <c r="V10" s="81" t="s">
        <v>60</v>
      </c>
      <c r="W10" s="81">
        <v>1010000</v>
      </c>
      <c r="X10" s="81">
        <v>4.3087</v>
      </c>
      <c r="Y10" s="81">
        <v>4.3301999999999996</v>
      </c>
      <c r="Z10" s="81" t="s">
        <v>457</v>
      </c>
    </row>
    <row r="11" spans="1:26" ht="16.5">
      <c r="A11" s="81" t="s">
        <v>367</v>
      </c>
      <c r="B11" s="82">
        <v>43353</v>
      </c>
      <c r="C11" s="81" t="s">
        <v>40</v>
      </c>
      <c r="D11" s="82">
        <v>45179</v>
      </c>
      <c r="E11" s="81" t="s">
        <v>13</v>
      </c>
      <c r="F11" s="81" t="s">
        <v>794</v>
      </c>
      <c r="G11" s="83">
        <v>7342000</v>
      </c>
      <c r="H11" s="83">
        <v>7342000</v>
      </c>
      <c r="I11" s="81" t="s">
        <v>33</v>
      </c>
      <c r="J11" s="81">
        <v>6</v>
      </c>
      <c r="K11" s="81">
        <v>2.25</v>
      </c>
      <c r="L11" s="81" t="s">
        <v>34</v>
      </c>
      <c r="M11" s="81" t="s">
        <v>34</v>
      </c>
      <c r="N11" s="81" t="s">
        <v>35</v>
      </c>
      <c r="O11" s="81" t="s">
        <v>36</v>
      </c>
      <c r="P11" s="81" t="s">
        <v>37</v>
      </c>
      <c r="Q11" s="81" t="s">
        <v>38</v>
      </c>
      <c r="R11" s="81" t="s">
        <v>39</v>
      </c>
      <c r="S11" s="81">
        <v>1.2150000000000001</v>
      </c>
      <c r="T11" s="81">
        <v>10511.24</v>
      </c>
      <c r="U11" s="81">
        <v>10406.08</v>
      </c>
      <c r="V11" s="81" t="s">
        <v>60</v>
      </c>
      <c r="W11" s="81">
        <v>1010000</v>
      </c>
      <c r="X11" s="81">
        <v>3.8210999999999999</v>
      </c>
      <c r="Y11" s="81">
        <v>3.8426999999999998</v>
      </c>
      <c r="Z11" s="81" t="s">
        <v>368</v>
      </c>
    </row>
    <row r="12" spans="1:26" ht="16.5">
      <c r="A12" s="81" t="s">
        <v>335</v>
      </c>
      <c r="B12" s="82">
        <v>43169</v>
      </c>
      <c r="C12" s="81" t="s">
        <v>11</v>
      </c>
      <c r="D12" s="82">
        <v>44995</v>
      </c>
      <c r="E12" s="81" t="s">
        <v>10</v>
      </c>
      <c r="F12" s="81" t="s">
        <v>696</v>
      </c>
      <c r="G12" s="83">
        <v>12566000</v>
      </c>
      <c r="H12" s="83">
        <v>12566000</v>
      </c>
      <c r="I12" s="81" t="s">
        <v>33</v>
      </c>
      <c r="J12" s="81">
        <v>6</v>
      </c>
      <c r="K12" s="81">
        <v>2.375</v>
      </c>
      <c r="L12" s="81" t="s">
        <v>34</v>
      </c>
      <c r="M12" s="81" t="s">
        <v>34</v>
      </c>
      <c r="N12" s="81" t="s">
        <v>35</v>
      </c>
      <c r="O12" s="81" t="s">
        <v>36</v>
      </c>
      <c r="P12" s="81" t="s">
        <v>37</v>
      </c>
      <c r="Q12" s="81" t="s">
        <v>38</v>
      </c>
      <c r="R12" s="81" t="s">
        <v>39</v>
      </c>
      <c r="S12" s="81">
        <v>1.2130000000000001</v>
      </c>
      <c r="T12" s="81">
        <v>10511.59</v>
      </c>
      <c r="U12" s="81">
        <v>10400.950000000001</v>
      </c>
      <c r="V12" s="81" t="s">
        <v>60</v>
      </c>
      <c r="W12" s="81">
        <v>1010000</v>
      </c>
      <c r="X12" s="81">
        <v>3.3572000000000002</v>
      </c>
      <c r="Y12" s="81">
        <v>3.3727</v>
      </c>
      <c r="Z12" s="81" t="s">
        <v>336</v>
      </c>
    </row>
    <row r="13" spans="1:26" ht="16.5">
      <c r="A13" s="81" t="s">
        <v>311</v>
      </c>
      <c r="B13" s="82">
        <v>42988</v>
      </c>
      <c r="C13" s="81" t="s">
        <v>13</v>
      </c>
      <c r="D13" s="82">
        <v>44814</v>
      </c>
      <c r="E13" s="81" t="s">
        <v>11</v>
      </c>
      <c r="F13" s="81" t="s">
        <v>795</v>
      </c>
      <c r="G13" s="83">
        <v>9626000</v>
      </c>
      <c r="H13" s="83">
        <v>9626000</v>
      </c>
      <c r="I13" s="81" t="s">
        <v>33</v>
      </c>
      <c r="J13" s="81">
        <v>6</v>
      </c>
      <c r="K13" s="81">
        <v>2</v>
      </c>
      <c r="L13" s="81" t="s">
        <v>34</v>
      </c>
      <c r="M13" s="81" t="s">
        <v>34</v>
      </c>
      <c r="N13" s="81" t="s">
        <v>35</v>
      </c>
      <c r="O13" s="81" t="s">
        <v>36</v>
      </c>
      <c r="P13" s="81" t="s">
        <v>37</v>
      </c>
      <c r="Q13" s="81" t="s">
        <v>38</v>
      </c>
      <c r="R13" s="81" t="s">
        <v>39</v>
      </c>
      <c r="S13" s="81">
        <v>1.21</v>
      </c>
      <c r="T13" s="81">
        <v>10327.98</v>
      </c>
      <c r="U13" s="81">
        <v>10234.51</v>
      </c>
      <c r="V13" s="81" t="s">
        <v>60</v>
      </c>
      <c r="W13" s="81">
        <v>1010000</v>
      </c>
      <c r="X13" s="81">
        <v>2.9152</v>
      </c>
      <c r="Y13" s="81">
        <v>2.9321000000000002</v>
      </c>
      <c r="Z13" s="81" t="s">
        <v>310</v>
      </c>
    </row>
    <row r="14" spans="1:26" ht="16.5">
      <c r="A14" s="81" t="s">
        <v>288</v>
      </c>
      <c r="B14" s="82">
        <v>42804</v>
      </c>
      <c r="C14" s="81" t="s">
        <v>10</v>
      </c>
      <c r="D14" s="82">
        <v>44630</v>
      </c>
      <c r="E14" s="81" t="s">
        <v>4</v>
      </c>
      <c r="F14" s="81" t="s">
        <v>698</v>
      </c>
      <c r="G14" s="83">
        <v>13790000</v>
      </c>
      <c r="H14" s="83">
        <v>13346000</v>
      </c>
      <c r="I14" s="81" t="s">
        <v>33</v>
      </c>
      <c r="J14" s="81">
        <v>6</v>
      </c>
      <c r="K14" s="81">
        <v>1.875</v>
      </c>
      <c r="L14" s="81" t="s">
        <v>34</v>
      </c>
      <c r="M14" s="81" t="s">
        <v>34</v>
      </c>
      <c r="N14" s="81" t="s">
        <v>35</v>
      </c>
      <c r="O14" s="81" t="s">
        <v>36</v>
      </c>
      <c r="P14" s="81" t="s">
        <v>37</v>
      </c>
      <c r="Q14" s="81" t="s">
        <v>38</v>
      </c>
      <c r="R14" s="81" t="s">
        <v>39</v>
      </c>
      <c r="S14" s="81">
        <v>1.2050000000000001</v>
      </c>
      <c r="T14" s="81">
        <v>10254.06</v>
      </c>
      <c r="U14" s="81">
        <v>10166.1</v>
      </c>
      <c r="V14" s="81" t="s">
        <v>60</v>
      </c>
      <c r="W14" s="81">
        <v>1010000</v>
      </c>
      <c r="X14" s="81">
        <v>2.4504000000000001</v>
      </c>
      <c r="Y14" s="81">
        <v>2.4607999999999999</v>
      </c>
      <c r="Z14" s="81" t="s">
        <v>289</v>
      </c>
    </row>
    <row r="15" spans="1:26" ht="16.5">
      <c r="A15" s="81" t="s">
        <v>275</v>
      </c>
      <c r="B15" s="82">
        <v>42623</v>
      </c>
      <c r="C15" s="81" t="s">
        <v>11</v>
      </c>
      <c r="D15" s="82">
        <v>44449</v>
      </c>
      <c r="E15" s="81" t="s">
        <v>10</v>
      </c>
      <c r="F15" s="81" t="s">
        <v>796</v>
      </c>
      <c r="G15" s="83">
        <v>10077000</v>
      </c>
      <c r="H15" s="83">
        <v>9553000</v>
      </c>
      <c r="I15" s="81" t="s">
        <v>33</v>
      </c>
      <c r="J15" s="81">
        <v>6</v>
      </c>
      <c r="K15" s="81">
        <v>1.375</v>
      </c>
      <c r="L15" s="81" t="s">
        <v>34</v>
      </c>
      <c r="M15" s="81" t="s">
        <v>34</v>
      </c>
      <c r="N15" s="81" t="s">
        <v>35</v>
      </c>
      <c r="O15" s="81" t="s">
        <v>36</v>
      </c>
      <c r="P15" s="81" t="s">
        <v>37</v>
      </c>
      <c r="Q15" s="81" t="s">
        <v>38</v>
      </c>
      <c r="R15" s="81" t="s">
        <v>39</v>
      </c>
      <c r="S15" s="81">
        <v>1.2010000000000001</v>
      </c>
      <c r="T15" s="81">
        <v>10099</v>
      </c>
      <c r="U15" s="81">
        <v>10034.61</v>
      </c>
      <c r="V15" s="81" t="s">
        <v>60</v>
      </c>
      <c r="W15" s="81">
        <v>1010000</v>
      </c>
      <c r="X15" s="81">
        <v>1.9872000000000001</v>
      </c>
      <c r="Y15" s="81">
        <v>1.9990000000000001</v>
      </c>
      <c r="Z15" s="81" t="s">
        <v>276</v>
      </c>
    </row>
    <row r="16" spans="1:26" ht="16.5">
      <c r="A16" s="81" t="s">
        <v>202</v>
      </c>
      <c r="B16" s="82">
        <v>42439</v>
      </c>
      <c r="C16" s="81" t="s">
        <v>4</v>
      </c>
      <c r="D16" s="82">
        <v>44265</v>
      </c>
      <c r="E16" s="81" t="s">
        <v>5</v>
      </c>
      <c r="F16" s="81" t="s">
        <v>700</v>
      </c>
      <c r="G16" s="83">
        <v>14366000</v>
      </c>
      <c r="H16" s="83">
        <v>12879000</v>
      </c>
      <c r="I16" s="81" t="s">
        <v>33</v>
      </c>
      <c r="J16" s="81">
        <v>6</v>
      </c>
      <c r="K16" s="81">
        <v>2</v>
      </c>
      <c r="L16" s="81" t="s">
        <v>34</v>
      </c>
      <c r="M16" s="81" t="s">
        <v>34</v>
      </c>
      <c r="N16" s="81" t="s">
        <v>35</v>
      </c>
      <c r="O16" s="81" t="s">
        <v>36</v>
      </c>
      <c r="P16" s="81" t="s">
        <v>37</v>
      </c>
      <c r="Q16" s="81" t="s">
        <v>38</v>
      </c>
      <c r="R16" s="81" t="s">
        <v>39</v>
      </c>
      <c r="S16" s="81">
        <v>1.1599999999999999</v>
      </c>
      <c r="T16" s="81">
        <v>10220.58</v>
      </c>
      <c r="U16" s="81">
        <v>10127.209999999999</v>
      </c>
      <c r="V16" s="81" t="s">
        <v>60</v>
      </c>
      <c r="W16" s="81">
        <v>1010000</v>
      </c>
      <c r="X16" s="81">
        <v>1.4950000000000001</v>
      </c>
      <c r="Y16" s="81">
        <v>1.4996</v>
      </c>
      <c r="Z16" s="81" t="s">
        <v>203</v>
      </c>
    </row>
    <row r="17" spans="1:26" ht="16.5">
      <c r="A17" s="81" t="s">
        <v>204</v>
      </c>
      <c r="B17" s="82">
        <v>42257</v>
      </c>
      <c r="C17" s="81" t="s">
        <v>4</v>
      </c>
      <c r="D17" s="82">
        <v>44084</v>
      </c>
      <c r="E17" s="81" t="s">
        <v>4</v>
      </c>
      <c r="F17" s="81" t="s">
        <v>797</v>
      </c>
      <c r="G17" s="83">
        <v>15238000</v>
      </c>
      <c r="H17" s="83">
        <v>12033000</v>
      </c>
      <c r="I17" s="81" t="s">
        <v>33</v>
      </c>
      <c r="J17" s="81">
        <v>6</v>
      </c>
      <c r="K17" s="81">
        <v>2</v>
      </c>
      <c r="L17" s="81" t="s">
        <v>34</v>
      </c>
      <c r="M17" s="81" t="s">
        <v>34</v>
      </c>
      <c r="N17" s="81" t="s">
        <v>35</v>
      </c>
      <c r="O17" s="81" t="s">
        <v>36</v>
      </c>
      <c r="P17" s="81" t="s">
        <v>37</v>
      </c>
      <c r="Q17" s="81" t="s">
        <v>38</v>
      </c>
      <c r="R17" s="81" t="s">
        <v>39</v>
      </c>
      <c r="S17" s="81">
        <v>1.155</v>
      </c>
      <c r="T17" s="81">
        <v>10179.86</v>
      </c>
      <c r="U17" s="81">
        <v>10086.459999999999</v>
      </c>
      <c r="V17" s="81" t="s">
        <v>60</v>
      </c>
      <c r="W17" s="81">
        <v>1010000</v>
      </c>
      <c r="X17" s="81">
        <v>1.0122</v>
      </c>
      <c r="Y17" s="81">
        <v>1.0181</v>
      </c>
      <c r="Z17" s="81" t="s">
        <v>205</v>
      </c>
    </row>
    <row r="18" spans="1:26" ht="16.5">
      <c r="A18" s="81" t="s">
        <v>206</v>
      </c>
      <c r="B18" s="82">
        <v>42073</v>
      </c>
      <c r="C18" s="81" t="s">
        <v>6</v>
      </c>
      <c r="D18" s="82">
        <v>43900</v>
      </c>
      <c r="E18" s="81" t="s">
        <v>6</v>
      </c>
      <c r="F18" s="81" t="s">
        <v>742</v>
      </c>
      <c r="G18" s="83">
        <v>12584000</v>
      </c>
      <c r="H18" s="83">
        <v>7717000</v>
      </c>
      <c r="I18" s="81" t="s">
        <v>33</v>
      </c>
      <c r="J18" s="81">
        <v>6</v>
      </c>
      <c r="K18" s="81">
        <v>2</v>
      </c>
      <c r="L18" s="81" t="s">
        <v>34</v>
      </c>
      <c r="M18" s="81" t="s">
        <v>34</v>
      </c>
      <c r="N18" s="81" t="s">
        <v>35</v>
      </c>
      <c r="O18" s="81" t="s">
        <v>36</v>
      </c>
      <c r="P18" s="81" t="s">
        <v>37</v>
      </c>
      <c r="Q18" s="81" t="s">
        <v>38</v>
      </c>
      <c r="R18" s="81" t="s">
        <v>39</v>
      </c>
      <c r="S18" s="81">
        <v>1.1579999999999999</v>
      </c>
      <c r="T18" s="81">
        <v>10137.99</v>
      </c>
      <c r="U18" s="81">
        <v>10044.61</v>
      </c>
      <c r="V18" s="81" t="s">
        <v>60</v>
      </c>
      <c r="W18" s="81">
        <v>1010000</v>
      </c>
      <c r="X18" s="81">
        <v>0.52480000000000004</v>
      </c>
      <c r="Y18" s="81">
        <v>0.52510000000000001</v>
      </c>
      <c r="Z18" s="81" t="s">
        <v>207</v>
      </c>
    </row>
    <row r="19" spans="1:26" ht="16.5">
      <c r="A19" s="81" t="s">
        <v>208</v>
      </c>
      <c r="B19" s="82">
        <v>41892</v>
      </c>
      <c r="C19" s="81" t="s">
        <v>5</v>
      </c>
      <c r="D19" s="82">
        <v>43718</v>
      </c>
      <c r="E19" s="81" t="s">
        <v>6</v>
      </c>
      <c r="F19" s="81" t="s">
        <v>762</v>
      </c>
      <c r="G19" s="83">
        <v>11564000</v>
      </c>
      <c r="H19" s="83">
        <v>8734000</v>
      </c>
      <c r="I19" s="81" t="s">
        <v>33</v>
      </c>
      <c r="J19" s="81">
        <v>6</v>
      </c>
      <c r="K19" s="81">
        <v>2.75</v>
      </c>
      <c r="L19" s="81" t="s">
        <v>34</v>
      </c>
      <c r="M19" s="81" t="s">
        <v>34</v>
      </c>
      <c r="N19" s="81" t="s">
        <v>35</v>
      </c>
      <c r="O19" s="81" t="s">
        <v>36</v>
      </c>
      <c r="P19" s="81" t="s">
        <v>37</v>
      </c>
      <c r="Q19" s="81" t="s">
        <v>38</v>
      </c>
      <c r="R19" s="81" t="s">
        <v>39</v>
      </c>
      <c r="S19" s="81">
        <v>1.2450000000000001</v>
      </c>
      <c r="T19" s="81">
        <v>10133.370000000001</v>
      </c>
      <c r="U19" s="81">
        <v>10004.83</v>
      </c>
      <c r="V19" s="81" t="s">
        <v>60</v>
      </c>
      <c r="W19" s="81">
        <v>1010000</v>
      </c>
      <c r="X19" s="81">
        <v>3.2500000000000001E-2</v>
      </c>
      <c r="Y19" s="81">
        <v>3.27E-2</v>
      </c>
      <c r="Z19" s="81" t="s">
        <v>209</v>
      </c>
    </row>
    <row r="20" spans="1:26" ht="16.5">
      <c r="A20" s="81" t="s">
        <v>34</v>
      </c>
      <c r="B20" s="81" t="s">
        <v>34</v>
      </c>
      <c r="D20" s="81" t="s">
        <v>34</v>
      </c>
      <c r="F20" s="81" t="s">
        <v>34</v>
      </c>
      <c r="G20" s="81" t="s">
        <v>34</v>
      </c>
      <c r="H20" s="81" t="s">
        <v>34</v>
      </c>
      <c r="I20" s="81" t="s">
        <v>34</v>
      </c>
      <c r="J20" s="81" t="s">
        <v>34</v>
      </c>
      <c r="K20" s="81">
        <v>3.125</v>
      </c>
      <c r="L20" s="81" t="s">
        <v>34</v>
      </c>
      <c r="M20" s="81" t="s">
        <v>34</v>
      </c>
      <c r="N20" s="81" t="s">
        <v>35</v>
      </c>
      <c r="O20" s="81" t="s">
        <v>34</v>
      </c>
      <c r="P20" s="81" t="s">
        <v>271</v>
      </c>
      <c r="Q20" s="81" t="s">
        <v>34</v>
      </c>
      <c r="R20" s="81" t="s">
        <v>34</v>
      </c>
      <c r="S20" s="81" t="s">
        <v>34</v>
      </c>
      <c r="T20" s="81" t="s">
        <v>34</v>
      </c>
      <c r="V20" s="81" t="s">
        <v>34</v>
      </c>
      <c r="W20" s="81" t="s">
        <v>34</v>
      </c>
      <c r="X20" s="81" t="s">
        <v>34</v>
      </c>
      <c r="Y20" s="81" t="s">
        <v>34</v>
      </c>
      <c r="Z20" s="81" t="s">
        <v>34</v>
      </c>
    </row>
    <row r="21" spans="1:26" ht="16.5">
      <c r="A21" s="81" t="s">
        <v>479</v>
      </c>
      <c r="B21" s="82">
        <v>43626</v>
      </c>
      <c r="C21" s="81" t="s">
        <v>40</v>
      </c>
      <c r="D21" s="82">
        <v>47279</v>
      </c>
      <c r="E21" s="81" t="s">
        <v>13</v>
      </c>
      <c r="F21" s="81" t="s">
        <v>798</v>
      </c>
      <c r="G21" s="83">
        <v>8343000</v>
      </c>
      <c r="H21" s="83">
        <v>8343000</v>
      </c>
      <c r="I21" s="81" t="s">
        <v>33</v>
      </c>
      <c r="J21" s="81">
        <v>6</v>
      </c>
      <c r="K21" s="81">
        <v>1.875</v>
      </c>
      <c r="L21" s="81" t="s">
        <v>34</v>
      </c>
      <c r="M21" s="81" t="s">
        <v>34</v>
      </c>
      <c r="N21" s="81" t="s">
        <v>35</v>
      </c>
      <c r="O21" s="81" t="s">
        <v>36</v>
      </c>
      <c r="P21" s="81" t="s">
        <v>37</v>
      </c>
      <c r="Q21" s="81" t="s">
        <v>38</v>
      </c>
      <c r="R21" s="81" t="s">
        <v>39</v>
      </c>
      <c r="S21" s="81">
        <v>1.2410000000000001</v>
      </c>
      <c r="T21" s="81">
        <v>10622.82</v>
      </c>
      <c r="U21" s="81">
        <v>10581.21</v>
      </c>
      <c r="V21" s="81" t="s">
        <v>60</v>
      </c>
      <c r="W21" s="81">
        <v>1010000</v>
      </c>
      <c r="X21" s="81">
        <v>8.9369999999999994</v>
      </c>
      <c r="Y21" s="81">
        <v>8.9755000000000003</v>
      </c>
      <c r="Z21" s="81" t="s">
        <v>480</v>
      </c>
    </row>
    <row r="22" spans="1:26" ht="16.5">
      <c r="A22" s="81" t="s">
        <v>435</v>
      </c>
      <c r="B22" s="82">
        <v>43444</v>
      </c>
      <c r="C22" s="81" t="s">
        <v>40</v>
      </c>
      <c r="D22" s="82">
        <v>47097</v>
      </c>
      <c r="E22" s="81" t="s">
        <v>13</v>
      </c>
      <c r="F22" s="81" t="s">
        <v>799</v>
      </c>
      <c r="G22" s="83">
        <v>11424000</v>
      </c>
      <c r="H22" s="83">
        <v>11424000</v>
      </c>
      <c r="I22" s="81" t="s">
        <v>33</v>
      </c>
      <c r="J22" s="81">
        <v>6</v>
      </c>
      <c r="K22" s="81">
        <v>2.375</v>
      </c>
      <c r="L22" s="81" t="s">
        <v>34</v>
      </c>
      <c r="M22" s="81" t="s">
        <v>34</v>
      </c>
      <c r="N22" s="81" t="s">
        <v>35</v>
      </c>
      <c r="O22" s="81" t="s">
        <v>36</v>
      </c>
      <c r="P22" s="81" t="s">
        <v>37</v>
      </c>
      <c r="Q22" s="81" t="s">
        <v>38</v>
      </c>
      <c r="R22" s="81" t="s">
        <v>39</v>
      </c>
      <c r="S22" s="81">
        <v>1.25</v>
      </c>
      <c r="T22" s="81">
        <v>11034.74</v>
      </c>
      <c r="U22" s="81">
        <v>10982.83</v>
      </c>
      <c r="V22" s="81" t="s">
        <v>60</v>
      </c>
      <c r="W22" s="81">
        <v>1010000</v>
      </c>
      <c r="X22" s="81">
        <v>8.3576999999999995</v>
      </c>
      <c r="Y22" s="81">
        <v>8.3965999999999994</v>
      </c>
      <c r="Z22" s="81" t="s">
        <v>434</v>
      </c>
    </row>
    <row r="23" spans="1:26" ht="16.5">
      <c r="A23" s="81" t="s">
        <v>354</v>
      </c>
      <c r="B23" s="82">
        <v>43261</v>
      </c>
      <c r="C23" s="81" t="s">
        <v>13</v>
      </c>
      <c r="D23" s="82">
        <v>46914</v>
      </c>
      <c r="E23" s="81" t="s">
        <v>11</v>
      </c>
      <c r="F23" s="81" t="s">
        <v>800</v>
      </c>
      <c r="G23" s="83">
        <v>11437000</v>
      </c>
      <c r="H23" s="83">
        <v>11437000</v>
      </c>
      <c r="I23" s="81" t="s">
        <v>33</v>
      </c>
      <c r="J23" s="81">
        <v>6</v>
      </c>
      <c r="K23" s="81">
        <v>2.625</v>
      </c>
      <c r="L23" s="81" t="s">
        <v>34</v>
      </c>
      <c r="M23" s="81" t="s">
        <v>34</v>
      </c>
      <c r="N23" s="81" t="s">
        <v>35</v>
      </c>
      <c r="O23" s="81" t="s">
        <v>36</v>
      </c>
      <c r="P23" s="81" t="s">
        <v>37</v>
      </c>
      <c r="Q23" s="81" t="s">
        <v>38</v>
      </c>
      <c r="R23" s="81" t="s">
        <v>39</v>
      </c>
      <c r="S23" s="81">
        <v>1.25</v>
      </c>
      <c r="T23" s="81">
        <v>11197.39</v>
      </c>
      <c r="U23" s="81">
        <v>11140.02</v>
      </c>
      <c r="V23" s="81" t="s">
        <v>60</v>
      </c>
      <c r="W23" s="81">
        <v>1010000</v>
      </c>
      <c r="X23" s="81">
        <v>7.8795000000000002</v>
      </c>
      <c r="Y23" s="81">
        <v>7.9168000000000003</v>
      </c>
      <c r="Z23" s="81" t="s">
        <v>355</v>
      </c>
    </row>
    <row r="24" spans="1:26" ht="16.5">
      <c r="A24" s="81" t="s">
        <v>324</v>
      </c>
      <c r="B24" s="82">
        <v>43079</v>
      </c>
      <c r="C24" s="81" t="s">
        <v>13</v>
      </c>
      <c r="D24" s="82">
        <v>46731</v>
      </c>
      <c r="E24" s="81" t="s">
        <v>10</v>
      </c>
      <c r="F24" s="81" t="s">
        <v>801</v>
      </c>
      <c r="G24" s="83">
        <v>11903000</v>
      </c>
      <c r="H24" s="83">
        <v>11903000</v>
      </c>
      <c r="I24" s="81" t="s">
        <v>33</v>
      </c>
      <c r="J24" s="81">
        <v>6</v>
      </c>
      <c r="K24" s="81">
        <v>2.375</v>
      </c>
      <c r="L24" s="81" t="s">
        <v>34</v>
      </c>
      <c r="M24" s="81" t="s">
        <v>34</v>
      </c>
      <c r="N24" s="81" t="s">
        <v>35</v>
      </c>
      <c r="O24" s="81" t="s">
        <v>36</v>
      </c>
      <c r="P24" s="81" t="s">
        <v>37</v>
      </c>
      <c r="Q24" s="81" t="s">
        <v>38</v>
      </c>
      <c r="R24" s="81" t="s">
        <v>39</v>
      </c>
      <c r="S24" s="81">
        <v>1.246</v>
      </c>
      <c r="T24" s="81">
        <v>10937.22</v>
      </c>
      <c r="U24" s="81">
        <v>10884.77</v>
      </c>
      <c r="V24" s="81" t="s">
        <v>60</v>
      </c>
      <c r="W24" s="81">
        <v>1010000</v>
      </c>
      <c r="X24" s="81">
        <v>7.5315000000000003</v>
      </c>
      <c r="Y24" s="81">
        <v>7.5679999999999996</v>
      </c>
      <c r="Z24" s="81" t="s">
        <v>325</v>
      </c>
    </row>
    <row r="25" spans="1:26" ht="16.5">
      <c r="A25" s="81" t="s">
        <v>301</v>
      </c>
      <c r="B25" s="82">
        <v>42896</v>
      </c>
      <c r="C25" s="81" t="s">
        <v>11</v>
      </c>
      <c r="D25" s="82">
        <v>46548</v>
      </c>
      <c r="E25" s="81" t="s">
        <v>4</v>
      </c>
      <c r="F25" s="81" t="s">
        <v>802</v>
      </c>
      <c r="G25" s="83">
        <v>12572000</v>
      </c>
      <c r="H25" s="83">
        <v>12572000</v>
      </c>
      <c r="I25" s="81" t="s">
        <v>33</v>
      </c>
      <c r="J25" s="81">
        <v>6</v>
      </c>
      <c r="K25" s="81">
        <v>2.125</v>
      </c>
      <c r="L25" s="81" t="s">
        <v>34</v>
      </c>
      <c r="M25" s="81" t="s">
        <v>34</v>
      </c>
      <c r="N25" s="81" t="s">
        <v>35</v>
      </c>
      <c r="O25" s="81" t="s">
        <v>36</v>
      </c>
      <c r="P25" s="81" t="s">
        <v>37</v>
      </c>
      <c r="Q25" s="81" t="s">
        <v>38</v>
      </c>
      <c r="R25" s="81" t="s">
        <v>39</v>
      </c>
      <c r="S25" s="81">
        <v>1.2410000000000001</v>
      </c>
      <c r="T25" s="81">
        <v>10699.83</v>
      </c>
      <c r="U25" s="81">
        <v>10652.88</v>
      </c>
      <c r="V25" s="81" t="s">
        <v>60</v>
      </c>
      <c r="W25" s="81">
        <v>1010000</v>
      </c>
      <c r="X25" s="81">
        <v>7.1689999999999996</v>
      </c>
      <c r="Y25" s="81">
        <v>7.2039</v>
      </c>
      <c r="Z25" s="81" t="s">
        <v>300</v>
      </c>
    </row>
    <row r="26" spans="1:26" ht="16.5">
      <c r="A26" s="81" t="s">
        <v>284</v>
      </c>
      <c r="B26" s="82">
        <v>42714</v>
      </c>
      <c r="C26" s="81" t="s">
        <v>11</v>
      </c>
      <c r="D26" s="82">
        <v>46366</v>
      </c>
      <c r="E26" s="81" t="s">
        <v>4</v>
      </c>
      <c r="F26" s="81" t="s">
        <v>803</v>
      </c>
      <c r="G26" s="83">
        <v>13063000</v>
      </c>
      <c r="H26" s="83">
        <v>13063000</v>
      </c>
      <c r="I26" s="81" t="s">
        <v>33</v>
      </c>
      <c r="J26" s="81">
        <v>6</v>
      </c>
      <c r="K26" s="81">
        <v>1.5</v>
      </c>
      <c r="L26" s="81" t="s">
        <v>34</v>
      </c>
      <c r="M26" s="81" t="s">
        <v>34</v>
      </c>
      <c r="N26" s="81" t="s">
        <v>35</v>
      </c>
      <c r="O26" s="81" t="s">
        <v>36</v>
      </c>
      <c r="P26" s="81" t="s">
        <v>37</v>
      </c>
      <c r="Q26" s="81" t="s">
        <v>38</v>
      </c>
      <c r="R26" s="81" t="s">
        <v>39</v>
      </c>
      <c r="S26" s="81">
        <v>1.2370000000000001</v>
      </c>
      <c r="T26" s="81">
        <v>10215.030000000001</v>
      </c>
      <c r="U26" s="81">
        <v>10180.379999999999</v>
      </c>
      <c r="V26" s="81" t="s">
        <v>60</v>
      </c>
      <c r="W26" s="81">
        <v>1010000</v>
      </c>
      <c r="X26" s="81">
        <v>6.8727</v>
      </c>
      <c r="Y26" s="81">
        <v>6.9080000000000004</v>
      </c>
      <c r="Z26" s="81" t="s">
        <v>285</v>
      </c>
    </row>
    <row r="27" spans="1:26" ht="16.5">
      <c r="A27" s="81" t="s">
        <v>268</v>
      </c>
      <c r="B27" s="82">
        <v>42531</v>
      </c>
      <c r="C27" s="81" t="s">
        <v>10</v>
      </c>
      <c r="D27" s="82">
        <v>46183</v>
      </c>
      <c r="E27" s="81" t="s">
        <v>5</v>
      </c>
      <c r="F27" s="81" t="s">
        <v>804</v>
      </c>
      <c r="G27" s="83">
        <v>12250000</v>
      </c>
      <c r="H27" s="83">
        <v>12212000</v>
      </c>
      <c r="I27" s="81" t="s">
        <v>33</v>
      </c>
      <c r="J27" s="81">
        <v>6</v>
      </c>
      <c r="K27" s="81">
        <v>1.875</v>
      </c>
      <c r="L27" s="81" t="s">
        <v>34</v>
      </c>
      <c r="M27" s="81" t="s">
        <v>34</v>
      </c>
      <c r="N27" s="81" t="s">
        <v>35</v>
      </c>
      <c r="O27" s="81" t="s">
        <v>36</v>
      </c>
      <c r="P27" s="81" t="s">
        <v>37</v>
      </c>
      <c r="Q27" s="81" t="s">
        <v>38</v>
      </c>
      <c r="R27" s="81" t="s">
        <v>39</v>
      </c>
      <c r="S27" s="81">
        <v>1.2350000000000001</v>
      </c>
      <c r="T27" s="81">
        <v>10455.52</v>
      </c>
      <c r="U27" s="81">
        <v>10411.67</v>
      </c>
      <c r="V27" s="81" t="s">
        <v>60</v>
      </c>
      <c r="W27" s="81">
        <v>1010000</v>
      </c>
      <c r="X27" s="81">
        <v>6.3518999999999997</v>
      </c>
      <c r="Y27" s="81">
        <v>6.3841000000000001</v>
      </c>
      <c r="Z27" s="81" t="s">
        <v>269</v>
      </c>
    </row>
    <row r="28" spans="1:26" ht="16.5">
      <c r="A28" s="81" t="s">
        <v>210</v>
      </c>
      <c r="B28" s="82">
        <v>42348</v>
      </c>
      <c r="C28" s="81" t="s">
        <v>4</v>
      </c>
      <c r="D28" s="82">
        <v>46001</v>
      </c>
      <c r="E28" s="81" t="s">
        <v>5</v>
      </c>
      <c r="F28" s="81" t="s">
        <v>805</v>
      </c>
      <c r="G28" s="83">
        <v>13030012</v>
      </c>
      <c r="H28" s="83">
        <v>12790012</v>
      </c>
      <c r="I28" s="81" t="s">
        <v>33</v>
      </c>
      <c r="J28" s="81">
        <v>6</v>
      </c>
      <c r="K28" s="81">
        <v>2.25</v>
      </c>
      <c r="L28" s="81" t="s">
        <v>34</v>
      </c>
      <c r="M28" s="81" t="s">
        <v>34</v>
      </c>
      <c r="N28" s="81" t="s">
        <v>35</v>
      </c>
      <c r="O28" s="81" t="s">
        <v>36</v>
      </c>
      <c r="P28" s="81" t="s">
        <v>37</v>
      </c>
      <c r="Q28" s="81" t="s">
        <v>38</v>
      </c>
      <c r="R28" s="81" t="s">
        <v>39</v>
      </c>
      <c r="S28" s="81">
        <v>1.2290000000000001</v>
      </c>
      <c r="T28" s="81">
        <v>10664.42</v>
      </c>
      <c r="U28" s="81">
        <v>10614.62</v>
      </c>
      <c r="V28" s="81" t="s">
        <v>60</v>
      </c>
      <c r="W28" s="81">
        <v>1010000</v>
      </c>
      <c r="X28" s="81">
        <v>5.8498000000000001</v>
      </c>
      <c r="Y28" s="81">
        <v>5.8811</v>
      </c>
      <c r="Z28" s="81" t="s">
        <v>211</v>
      </c>
    </row>
    <row r="29" spans="1:26" ht="16.5">
      <c r="A29" s="81" t="s">
        <v>212</v>
      </c>
      <c r="B29" s="82">
        <v>42165</v>
      </c>
      <c r="C29" s="81" t="s">
        <v>5</v>
      </c>
      <c r="D29" s="82">
        <v>45818</v>
      </c>
      <c r="E29" s="81" t="s">
        <v>6</v>
      </c>
      <c r="F29" s="81" t="s">
        <v>806</v>
      </c>
      <c r="G29" s="83">
        <v>15232000</v>
      </c>
      <c r="H29" s="83">
        <v>15028000</v>
      </c>
      <c r="I29" s="81" t="s">
        <v>33</v>
      </c>
      <c r="J29" s="81">
        <v>6</v>
      </c>
      <c r="K29" s="81">
        <v>2.25</v>
      </c>
      <c r="L29" s="81" t="s">
        <v>34</v>
      </c>
      <c r="M29" s="81" t="s">
        <v>34</v>
      </c>
      <c r="N29" s="81" t="s">
        <v>35</v>
      </c>
      <c r="O29" s="81" t="s">
        <v>36</v>
      </c>
      <c r="P29" s="81" t="s">
        <v>37</v>
      </c>
      <c r="Q29" s="81" t="s">
        <v>38</v>
      </c>
      <c r="R29" s="81" t="s">
        <v>39</v>
      </c>
      <c r="S29" s="81">
        <v>1.224</v>
      </c>
      <c r="T29" s="81">
        <v>10619.65</v>
      </c>
      <c r="U29" s="81">
        <v>10569.13</v>
      </c>
      <c r="V29" s="81" t="s">
        <v>60</v>
      </c>
      <c r="W29" s="81">
        <v>1010000</v>
      </c>
      <c r="X29" s="81">
        <v>5.4112999999999998</v>
      </c>
      <c r="Y29" s="81">
        <v>5.4394</v>
      </c>
      <c r="Z29" s="81" t="s">
        <v>213</v>
      </c>
    </row>
    <row r="30" spans="1:26" ht="16.5">
      <c r="A30" s="81" t="s">
        <v>214</v>
      </c>
      <c r="B30" s="82">
        <v>41892</v>
      </c>
      <c r="C30" s="81" t="s">
        <v>5</v>
      </c>
      <c r="D30" s="82">
        <v>45545</v>
      </c>
      <c r="E30" s="81" t="s">
        <v>6</v>
      </c>
      <c r="F30" s="81" t="s">
        <v>792</v>
      </c>
      <c r="G30" s="83">
        <v>16621030</v>
      </c>
      <c r="H30" s="83">
        <v>16366030</v>
      </c>
      <c r="I30" s="81" t="s">
        <v>33</v>
      </c>
      <c r="J30" s="81">
        <v>6</v>
      </c>
      <c r="K30" s="81">
        <v>3</v>
      </c>
      <c r="L30" s="81" t="s">
        <v>34</v>
      </c>
      <c r="M30" s="81" t="s">
        <v>34</v>
      </c>
      <c r="N30" s="81" t="s">
        <v>35</v>
      </c>
      <c r="O30" s="81" t="s">
        <v>36</v>
      </c>
      <c r="P30" s="81" t="s">
        <v>37</v>
      </c>
      <c r="Q30" s="81" t="s">
        <v>38</v>
      </c>
      <c r="R30" s="81" t="s">
        <v>39</v>
      </c>
      <c r="S30" s="81">
        <v>1.222</v>
      </c>
      <c r="T30" s="81">
        <v>11005.28</v>
      </c>
      <c r="U30" s="81">
        <v>10865.24</v>
      </c>
      <c r="V30" s="81" t="s">
        <v>60</v>
      </c>
      <c r="W30" s="81">
        <v>1010000</v>
      </c>
      <c r="X30" s="81">
        <v>4.6390000000000002</v>
      </c>
      <c r="Y30" s="81">
        <v>4.6646999999999998</v>
      </c>
      <c r="Z30" s="81" t="s">
        <v>215</v>
      </c>
    </row>
    <row r="31" spans="1:26" ht="16.5">
      <c r="A31" s="81" t="s">
        <v>216</v>
      </c>
      <c r="B31" s="82">
        <v>41708</v>
      </c>
      <c r="C31" s="81" t="s">
        <v>40</v>
      </c>
      <c r="D31" s="82">
        <v>45361</v>
      </c>
      <c r="E31" s="81" t="s">
        <v>13</v>
      </c>
      <c r="F31" s="81" t="s">
        <v>793</v>
      </c>
      <c r="G31" s="83">
        <v>13194001</v>
      </c>
      <c r="H31" s="83">
        <v>13194001</v>
      </c>
      <c r="I31" s="81" t="s">
        <v>33</v>
      </c>
      <c r="J31" s="81">
        <v>6</v>
      </c>
      <c r="K31" s="81">
        <v>3.5</v>
      </c>
      <c r="L31" s="81" t="s">
        <v>34</v>
      </c>
      <c r="M31" s="81" t="s">
        <v>34</v>
      </c>
      <c r="N31" s="81" t="s">
        <v>35</v>
      </c>
      <c r="O31" s="81" t="s">
        <v>36</v>
      </c>
      <c r="P31" s="81" t="s">
        <v>37</v>
      </c>
      <c r="Q31" s="81" t="s">
        <v>38</v>
      </c>
      <c r="R31" s="81" t="s">
        <v>39</v>
      </c>
      <c r="S31" s="81">
        <v>1.222</v>
      </c>
      <c r="T31" s="81">
        <v>11164.86</v>
      </c>
      <c r="U31" s="81">
        <v>11000.04</v>
      </c>
      <c r="V31" s="81" t="s">
        <v>60</v>
      </c>
      <c r="W31" s="81">
        <v>1010000</v>
      </c>
      <c r="X31" s="81">
        <v>4.1623000000000001</v>
      </c>
      <c r="Y31" s="81">
        <v>4.1833</v>
      </c>
      <c r="Z31" s="81" t="s">
        <v>217</v>
      </c>
    </row>
    <row r="32" spans="1:26" ht="16.5">
      <c r="A32" s="81" t="s">
        <v>218</v>
      </c>
      <c r="B32" s="82">
        <v>41527</v>
      </c>
      <c r="C32" s="81" t="s">
        <v>6</v>
      </c>
      <c r="D32" s="82">
        <v>45179</v>
      </c>
      <c r="E32" s="81" t="s">
        <v>13</v>
      </c>
      <c r="F32" s="81" t="s">
        <v>794</v>
      </c>
      <c r="G32" s="83">
        <v>12430026</v>
      </c>
      <c r="H32" s="83">
        <v>12430026</v>
      </c>
      <c r="I32" s="81" t="s">
        <v>33</v>
      </c>
      <c r="J32" s="81">
        <v>6</v>
      </c>
      <c r="K32" s="81">
        <v>3.375</v>
      </c>
      <c r="L32" s="81" t="s">
        <v>34</v>
      </c>
      <c r="M32" s="81" t="s">
        <v>34</v>
      </c>
      <c r="N32" s="81" t="s">
        <v>35</v>
      </c>
      <c r="O32" s="81" t="s">
        <v>36</v>
      </c>
      <c r="P32" s="81" t="s">
        <v>37</v>
      </c>
      <c r="Q32" s="81" t="s">
        <v>38</v>
      </c>
      <c r="R32" s="81" t="s">
        <v>39</v>
      </c>
      <c r="S32" s="81">
        <v>1.2150000000000001</v>
      </c>
      <c r="T32" s="81">
        <v>11004.96</v>
      </c>
      <c r="U32" s="81">
        <v>10847.5</v>
      </c>
      <c r="V32" s="81" t="s">
        <v>60</v>
      </c>
      <c r="W32" s="81">
        <v>1010000</v>
      </c>
      <c r="X32" s="81">
        <v>3.7393999999999998</v>
      </c>
      <c r="Y32" s="81">
        <v>3.7605</v>
      </c>
      <c r="Z32" s="81" t="s">
        <v>219</v>
      </c>
    </row>
    <row r="33" spans="1:26" ht="16.5">
      <c r="A33" s="81" t="s">
        <v>220</v>
      </c>
      <c r="B33" s="82">
        <v>41343</v>
      </c>
      <c r="C33" s="81" t="s">
        <v>13</v>
      </c>
      <c r="D33" s="82">
        <v>44995</v>
      </c>
      <c r="E33" s="81" t="s">
        <v>10</v>
      </c>
      <c r="F33" s="81" t="s">
        <v>696</v>
      </c>
      <c r="G33" s="83">
        <v>12262020</v>
      </c>
      <c r="H33" s="83">
        <v>12262020</v>
      </c>
      <c r="I33" s="81" t="s">
        <v>33</v>
      </c>
      <c r="J33" s="81">
        <v>6</v>
      </c>
      <c r="K33" s="81">
        <v>3</v>
      </c>
      <c r="L33" s="81" t="s">
        <v>34</v>
      </c>
      <c r="M33" s="81" t="s">
        <v>34</v>
      </c>
      <c r="N33" s="81" t="s">
        <v>35</v>
      </c>
      <c r="O33" s="81" t="s">
        <v>36</v>
      </c>
      <c r="P33" s="81" t="s">
        <v>37</v>
      </c>
      <c r="Q33" s="81" t="s">
        <v>38</v>
      </c>
      <c r="R33" s="81" t="s">
        <v>39</v>
      </c>
      <c r="S33" s="81">
        <v>1.2150000000000001</v>
      </c>
      <c r="T33" s="81">
        <v>10755.33</v>
      </c>
      <c r="U33" s="81">
        <v>10614.65</v>
      </c>
      <c r="V33" s="81" t="s">
        <v>60</v>
      </c>
      <c r="W33" s="81">
        <v>1010000</v>
      </c>
      <c r="X33" s="81">
        <v>3.3207</v>
      </c>
      <c r="Y33" s="81">
        <v>3.3361000000000001</v>
      </c>
      <c r="Z33" s="81" t="s">
        <v>221</v>
      </c>
    </row>
    <row r="34" spans="1:26" ht="16.5">
      <c r="A34" s="81" t="s">
        <v>222</v>
      </c>
      <c r="B34" s="82">
        <v>41070</v>
      </c>
      <c r="C34" s="81" t="s">
        <v>13</v>
      </c>
      <c r="D34" s="82">
        <v>44722</v>
      </c>
      <c r="E34" s="81" t="s">
        <v>10</v>
      </c>
      <c r="F34" s="81" t="s">
        <v>787</v>
      </c>
      <c r="G34" s="83">
        <v>15281500</v>
      </c>
      <c r="H34" s="83">
        <v>15281500</v>
      </c>
      <c r="I34" s="81" t="s">
        <v>33</v>
      </c>
      <c r="J34" s="81">
        <v>6</v>
      </c>
      <c r="K34" s="81">
        <v>3.75</v>
      </c>
      <c r="L34" s="81" t="s">
        <v>34</v>
      </c>
      <c r="M34" s="81" t="s">
        <v>34</v>
      </c>
      <c r="N34" s="81" t="s">
        <v>35</v>
      </c>
      <c r="O34" s="81" t="s">
        <v>36</v>
      </c>
      <c r="P34" s="81" t="s">
        <v>37</v>
      </c>
      <c r="Q34" s="81" t="s">
        <v>38</v>
      </c>
      <c r="R34" s="81" t="s">
        <v>39</v>
      </c>
      <c r="S34" s="81">
        <v>1.206</v>
      </c>
      <c r="T34" s="81">
        <v>10775.48</v>
      </c>
      <c r="U34" s="81">
        <v>10693.33</v>
      </c>
      <c r="V34" s="81" t="s">
        <v>60</v>
      </c>
      <c r="W34" s="81">
        <v>1010000</v>
      </c>
      <c r="X34" s="81">
        <v>2.6377000000000002</v>
      </c>
      <c r="Y34" s="81">
        <v>2.6518000000000002</v>
      </c>
      <c r="Z34" s="81" t="s">
        <v>223</v>
      </c>
    </row>
    <row r="35" spans="1:26" ht="16.5">
      <c r="A35" s="81" t="s">
        <v>224</v>
      </c>
      <c r="B35" s="82">
        <v>40704</v>
      </c>
      <c r="C35" s="81" t="s">
        <v>10</v>
      </c>
      <c r="D35" s="82">
        <v>44357</v>
      </c>
      <c r="E35" s="81" t="s">
        <v>4</v>
      </c>
      <c r="F35" s="81" t="s">
        <v>789</v>
      </c>
      <c r="G35" s="83">
        <v>21178959</v>
      </c>
      <c r="H35" s="83">
        <v>17285959</v>
      </c>
      <c r="I35" s="81" t="s">
        <v>33</v>
      </c>
      <c r="J35" s="81">
        <v>6</v>
      </c>
      <c r="K35" s="81">
        <v>4.25</v>
      </c>
      <c r="L35" s="81" t="s">
        <v>34</v>
      </c>
      <c r="M35" s="81" t="s">
        <v>34</v>
      </c>
      <c r="N35" s="81" t="s">
        <v>35</v>
      </c>
      <c r="O35" s="81" t="s">
        <v>36</v>
      </c>
      <c r="P35" s="81" t="s">
        <v>37</v>
      </c>
      <c r="Q35" s="81" t="s">
        <v>38</v>
      </c>
      <c r="R35" s="81" t="s">
        <v>39</v>
      </c>
      <c r="S35" s="81">
        <v>1.179</v>
      </c>
      <c r="T35" s="81">
        <v>10632.49</v>
      </c>
      <c r="U35" s="81">
        <v>10540.33</v>
      </c>
      <c r="V35" s="81" t="s">
        <v>60</v>
      </c>
      <c r="W35" s="81">
        <v>1010000</v>
      </c>
      <c r="X35" s="81">
        <v>1.7125999999999999</v>
      </c>
      <c r="Y35" s="81">
        <v>1.7213000000000001</v>
      </c>
      <c r="Z35" s="81" t="s">
        <v>225</v>
      </c>
    </row>
    <row r="36" spans="1:26" ht="16.5">
      <c r="A36" s="81" t="s">
        <v>436</v>
      </c>
      <c r="B36" s="82">
        <v>40339</v>
      </c>
      <c r="C36" s="81" t="s">
        <v>4</v>
      </c>
      <c r="D36" s="82">
        <v>43992</v>
      </c>
      <c r="E36" s="81" t="s">
        <v>5</v>
      </c>
      <c r="F36" s="81" t="s">
        <v>791</v>
      </c>
      <c r="G36" s="83">
        <v>18848000</v>
      </c>
      <c r="H36" s="83">
        <v>11863000</v>
      </c>
      <c r="I36" s="81" t="s">
        <v>33</v>
      </c>
      <c r="J36" s="81">
        <v>6</v>
      </c>
      <c r="K36" s="81">
        <v>5</v>
      </c>
      <c r="L36" s="81" t="s">
        <v>34</v>
      </c>
      <c r="M36" s="81" t="s">
        <v>34</v>
      </c>
      <c r="N36" s="81" t="s">
        <v>35</v>
      </c>
      <c r="O36" s="81" t="s">
        <v>36</v>
      </c>
      <c r="P36" s="81" t="s">
        <v>37</v>
      </c>
      <c r="Q36" s="81" t="s">
        <v>38</v>
      </c>
      <c r="R36" s="81" t="s">
        <v>39</v>
      </c>
      <c r="S36" s="81">
        <v>1.0780000000000001</v>
      </c>
      <c r="T36" s="81">
        <v>10413.450000000001</v>
      </c>
      <c r="U36" s="81">
        <v>10304.25</v>
      </c>
      <c r="V36" s="81" t="s">
        <v>60</v>
      </c>
      <c r="W36" s="81">
        <v>1010000</v>
      </c>
      <c r="X36" s="81">
        <v>0.76600000000000001</v>
      </c>
      <c r="Y36" s="81">
        <v>0.76939999999999997</v>
      </c>
      <c r="Z36" s="81" t="s">
        <v>437</v>
      </c>
    </row>
    <row r="37" spans="1:26" ht="16.5">
      <c r="A37" s="81" t="s">
        <v>360</v>
      </c>
      <c r="B37" s="82">
        <v>43261</v>
      </c>
      <c r="C37" s="81" t="s">
        <v>13</v>
      </c>
      <c r="D37" s="82">
        <v>46914</v>
      </c>
      <c r="E37" s="81" t="s">
        <v>11</v>
      </c>
      <c r="F37" s="81" t="s">
        <v>800</v>
      </c>
      <c r="G37" s="83">
        <v>1461000</v>
      </c>
      <c r="H37" s="83">
        <v>1461000</v>
      </c>
      <c r="I37" s="81" t="s">
        <v>33</v>
      </c>
      <c r="J37" s="81">
        <v>6</v>
      </c>
      <c r="K37" s="81">
        <v>1.75</v>
      </c>
      <c r="L37" s="81" t="s">
        <v>34</v>
      </c>
      <c r="M37" s="81" t="s">
        <v>34</v>
      </c>
      <c r="N37" s="81" t="s">
        <v>35</v>
      </c>
      <c r="O37" s="81" t="s">
        <v>36</v>
      </c>
      <c r="P37" s="81" t="s">
        <v>37</v>
      </c>
      <c r="Q37" s="81" t="s">
        <v>38</v>
      </c>
      <c r="R37" s="81" t="s">
        <v>39</v>
      </c>
      <c r="S37" s="81">
        <v>0.63</v>
      </c>
      <c r="T37" s="81">
        <v>11068.95</v>
      </c>
      <c r="U37" s="81">
        <v>11030.44</v>
      </c>
      <c r="V37" s="81" t="s">
        <v>60</v>
      </c>
      <c r="W37" s="81">
        <v>1010000</v>
      </c>
      <c r="X37" s="81">
        <v>8.1700999999999997</v>
      </c>
      <c r="Y37" s="81">
        <v>8.1836000000000002</v>
      </c>
      <c r="Z37" s="81" t="s">
        <v>361</v>
      </c>
    </row>
    <row r="38" spans="1:26" ht="16.5">
      <c r="A38" s="81" t="s">
        <v>277</v>
      </c>
      <c r="B38" s="82">
        <v>42531</v>
      </c>
      <c r="C38" s="81" t="s">
        <v>10</v>
      </c>
      <c r="D38" s="82">
        <v>46183</v>
      </c>
      <c r="E38" s="81" t="s">
        <v>5</v>
      </c>
      <c r="F38" s="81" t="s">
        <v>804</v>
      </c>
      <c r="G38" s="83">
        <v>4053020</v>
      </c>
      <c r="H38" s="83">
        <v>2918020</v>
      </c>
      <c r="I38" s="81" t="s">
        <v>33</v>
      </c>
      <c r="J38" s="81">
        <v>6</v>
      </c>
      <c r="K38" s="81">
        <v>1</v>
      </c>
      <c r="L38" s="81" t="s">
        <v>34</v>
      </c>
      <c r="M38" s="81" t="s">
        <v>34</v>
      </c>
      <c r="N38" s="81" t="s">
        <v>35</v>
      </c>
      <c r="O38" s="81" t="s">
        <v>36</v>
      </c>
      <c r="P38" s="81" t="s">
        <v>37</v>
      </c>
      <c r="Q38" s="81" t="s">
        <v>38</v>
      </c>
      <c r="R38" s="81" t="s">
        <v>39</v>
      </c>
      <c r="S38" s="81">
        <v>0.40699999999999997</v>
      </c>
      <c r="T38" s="81">
        <v>10856.22</v>
      </c>
      <c r="U38" s="81">
        <v>10830.14</v>
      </c>
      <c r="V38" s="81" t="s">
        <v>60</v>
      </c>
      <c r="W38" s="81">
        <v>1010000</v>
      </c>
      <c r="X38" s="81">
        <v>6.5579999999999998</v>
      </c>
      <c r="Y38" s="81">
        <v>6.5644999999999998</v>
      </c>
      <c r="Z38" s="81" t="s">
        <v>278</v>
      </c>
    </row>
    <row r="39" spans="1:26" ht="16.5">
      <c r="A39" s="81" t="s">
        <v>226</v>
      </c>
      <c r="B39" s="82">
        <v>42165</v>
      </c>
      <c r="C39" s="81" t="s">
        <v>5</v>
      </c>
      <c r="D39" s="82">
        <v>45818</v>
      </c>
      <c r="E39" s="81" t="s">
        <v>6</v>
      </c>
      <c r="F39" s="81" t="s">
        <v>806</v>
      </c>
      <c r="G39" s="83">
        <v>2039030</v>
      </c>
      <c r="H39" s="83">
        <v>683030</v>
      </c>
      <c r="I39" s="81" t="s">
        <v>33</v>
      </c>
      <c r="J39" s="81">
        <v>6</v>
      </c>
      <c r="K39" s="81">
        <v>1.75</v>
      </c>
      <c r="L39" s="81" t="s">
        <v>34</v>
      </c>
      <c r="M39" s="81" t="s">
        <v>34</v>
      </c>
      <c r="N39" s="81" t="s">
        <v>35</v>
      </c>
      <c r="O39" s="81" t="s">
        <v>36</v>
      </c>
      <c r="P39" s="81" t="s">
        <v>37</v>
      </c>
      <c r="Q39" s="81" t="s">
        <v>38</v>
      </c>
      <c r="R39" s="81" t="s">
        <v>39</v>
      </c>
      <c r="S39" s="81">
        <v>0.27300000000000002</v>
      </c>
      <c r="T39" s="81">
        <v>11456.22</v>
      </c>
      <c r="U39" s="81">
        <v>11414.92</v>
      </c>
      <c r="V39" s="81" t="s">
        <v>60</v>
      </c>
      <c r="W39" s="81">
        <v>1010000</v>
      </c>
      <c r="X39" s="81">
        <v>5.5138999999999996</v>
      </c>
      <c r="Y39" s="81">
        <v>5.5170000000000003</v>
      </c>
      <c r="Z39" s="81" t="s">
        <v>227</v>
      </c>
    </row>
    <row r="40" spans="1:26" ht="16.5">
      <c r="A40" s="81" t="s">
        <v>228</v>
      </c>
      <c r="B40" s="82">
        <v>41435</v>
      </c>
      <c r="C40" s="81" t="s">
        <v>40</v>
      </c>
      <c r="D40" s="82">
        <v>45087</v>
      </c>
      <c r="E40" s="81" t="s">
        <v>11</v>
      </c>
      <c r="F40" s="81" t="s">
        <v>807</v>
      </c>
      <c r="G40" s="83">
        <v>2261312</v>
      </c>
      <c r="H40" s="83">
        <v>679312</v>
      </c>
      <c r="I40" s="81" t="s">
        <v>33</v>
      </c>
      <c r="J40" s="81">
        <v>6</v>
      </c>
      <c r="K40" s="81">
        <v>1.125</v>
      </c>
      <c r="L40" s="81" t="s">
        <v>34</v>
      </c>
      <c r="M40" s="81" t="s">
        <v>34</v>
      </c>
      <c r="N40" s="81" t="s">
        <v>35</v>
      </c>
      <c r="O40" s="81" t="s">
        <v>36</v>
      </c>
      <c r="P40" s="81" t="s">
        <v>37</v>
      </c>
      <c r="Q40" s="81" t="s">
        <v>38</v>
      </c>
      <c r="R40" s="81" t="s">
        <v>39</v>
      </c>
      <c r="S40" s="81">
        <v>0.18099999999999999</v>
      </c>
      <c r="T40" s="81">
        <v>11102.56</v>
      </c>
      <c r="U40" s="81">
        <v>11074.89</v>
      </c>
      <c r="V40" s="81" t="s">
        <v>60</v>
      </c>
      <c r="W40" s="81">
        <v>1010000</v>
      </c>
      <c r="X40" s="81">
        <v>3.7037</v>
      </c>
      <c r="Y40" s="81">
        <v>3.7050999999999998</v>
      </c>
      <c r="Z40" s="81" t="s">
        <v>229</v>
      </c>
    </row>
    <row r="41" spans="1:26" ht="16.5">
      <c r="A41" s="81" t="s">
        <v>230</v>
      </c>
      <c r="B41" s="82">
        <v>40704</v>
      </c>
      <c r="C41" s="81" t="s">
        <v>10</v>
      </c>
      <c r="D41" s="82">
        <v>44357</v>
      </c>
      <c r="E41" s="81" t="s">
        <v>4</v>
      </c>
      <c r="F41" s="81" t="s">
        <v>789</v>
      </c>
      <c r="G41" s="83">
        <v>5086051</v>
      </c>
      <c r="H41" s="83">
        <v>2753051</v>
      </c>
      <c r="I41" s="81" t="s">
        <v>33</v>
      </c>
      <c r="J41" s="81">
        <v>6</v>
      </c>
      <c r="K41" s="81">
        <v>1.5</v>
      </c>
      <c r="L41" s="81" t="s">
        <v>34</v>
      </c>
      <c r="M41" s="81" t="s">
        <v>34</v>
      </c>
      <c r="N41" s="81" t="s">
        <v>35</v>
      </c>
      <c r="O41" s="81" t="s">
        <v>36</v>
      </c>
      <c r="P41" s="81" t="s">
        <v>37</v>
      </c>
      <c r="Q41" s="81" t="s">
        <v>38</v>
      </c>
      <c r="R41" s="81" t="s">
        <v>39</v>
      </c>
      <c r="S41" s="81">
        <v>0.13300000000000001</v>
      </c>
      <c r="T41" s="81">
        <v>11458.82</v>
      </c>
      <c r="U41" s="81">
        <v>11420.92</v>
      </c>
      <c r="V41" s="81" t="s">
        <v>60</v>
      </c>
      <c r="W41" s="81">
        <v>1010000</v>
      </c>
      <c r="X41" s="81">
        <v>1.7585999999999999</v>
      </c>
      <c r="Y41" s="81">
        <v>1.7588999999999999</v>
      </c>
      <c r="Z41" s="81" t="s">
        <v>231</v>
      </c>
    </row>
    <row r="42" spans="1:26" ht="16.5">
      <c r="A42" s="81" t="s">
        <v>232</v>
      </c>
      <c r="B42" s="82">
        <v>40339</v>
      </c>
      <c r="C42" s="81" t="s">
        <v>4</v>
      </c>
      <c r="D42" s="82">
        <v>43992</v>
      </c>
      <c r="E42" s="81" t="s">
        <v>5</v>
      </c>
      <c r="F42" s="81" t="s">
        <v>791</v>
      </c>
      <c r="G42" s="83">
        <v>1765000</v>
      </c>
      <c r="H42" s="83">
        <v>943000</v>
      </c>
      <c r="I42" s="81" t="s">
        <v>33</v>
      </c>
      <c r="J42" s="81">
        <v>6</v>
      </c>
      <c r="K42" s="81">
        <v>2.75</v>
      </c>
      <c r="L42" s="81" t="s">
        <v>34</v>
      </c>
      <c r="M42" s="81" t="s">
        <v>34</v>
      </c>
      <c r="N42" s="81" t="s">
        <v>35</v>
      </c>
      <c r="O42" s="81" t="s">
        <v>36</v>
      </c>
      <c r="P42" s="81" t="s">
        <v>37</v>
      </c>
      <c r="Q42" s="81" t="s">
        <v>38</v>
      </c>
      <c r="R42" s="81" t="s">
        <v>39</v>
      </c>
      <c r="S42" s="81">
        <v>5.2999999999999999E-2</v>
      </c>
      <c r="T42" s="81">
        <v>11972.1</v>
      </c>
      <c r="U42" s="81">
        <v>11902.36</v>
      </c>
      <c r="V42" s="81" t="s">
        <v>60</v>
      </c>
      <c r="W42" s="81">
        <v>1010000</v>
      </c>
      <c r="X42" s="81">
        <v>0.77449999999999997</v>
      </c>
      <c r="Y42" s="81">
        <v>0.77470000000000006</v>
      </c>
      <c r="Z42" s="81" t="s">
        <v>233</v>
      </c>
    </row>
    <row r="43" spans="1:26" ht="16.5">
      <c r="A43" s="81" t="s">
        <v>579</v>
      </c>
      <c r="B43" s="82">
        <v>43718</v>
      </c>
      <c r="C43" s="81" t="s">
        <v>6</v>
      </c>
      <c r="D43" s="82">
        <v>51023</v>
      </c>
      <c r="E43" s="81" t="s">
        <v>11</v>
      </c>
      <c r="F43" s="81" t="s">
        <v>808</v>
      </c>
      <c r="G43" s="83">
        <v>200000</v>
      </c>
      <c r="H43" s="83">
        <v>200000</v>
      </c>
      <c r="I43" s="81" t="s">
        <v>33</v>
      </c>
      <c r="J43" s="81">
        <v>6</v>
      </c>
      <c r="K43" s="81">
        <v>1.125</v>
      </c>
      <c r="L43" s="81" t="s">
        <v>34</v>
      </c>
      <c r="M43" s="81" t="s">
        <v>34</v>
      </c>
      <c r="N43" s="81" t="s">
        <v>35</v>
      </c>
      <c r="O43" s="81" t="s">
        <v>36</v>
      </c>
      <c r="P43" s="81" t="s">
        <v>37</v>
      </c>
      <c r="Q43" s="81" t="s">
        <v>38</v>
      </c>
      <c r="R43" s="81" t="s">
        <v>39</v>
      </c>
      <c r="S43" s="81">
        <v>1.2350000000000001</v>
      </c>
      <c r="T43" s="81">
        <v>9801.64</v>
      </c>
      <c r="U43" s="81">
        <v>9801.64</v>
      </c>
      <c r="V43" s="81" t="s">
        <v>60</v>
      </c>
      <c r="W43" s="81">
        <v>1010000</v>
      </c>
      <c r="X43" s="81">
        <v>17.982700000000001</v>
      </c>
      <c r="Y43" s="81">
        <v>17.972300000000001</v>
      </c>
      <c r="Z43" s="81" t="s">
        <v>580</v>
      </c>
    </row>
    <row r="44" spans="1:26" ht="16.5">
      <c r="A44" s="81" t="s">
        <v>389</v>
      </c>
      <c r="B44" s="82">
        <v>43353</v>
      </c>
      <c r="C44" s="81" t="s">
        <v>40</v>
      </c>
      <c r="D44" s="82">
        <v>50658</v>
      </c>
      <c r="E44" s="81" t="s">
        <v>10</v>
      </c>
      <c r="F44" s="81" t="s">
        <v>809</v>
      </c>
      <c r="G44" s="83">
        <v>8221000</v>
      </c>
      <c r="H44" s="83">
        <v>8221000</v>
      </c>
      <c r="I44" s="81" t="s">
        <v>33</v>
      </c>
      <c r="J44" s="81">
        <v>6</v>
      </c>
      <c r="K44" s="81">
        <v>2.375</v>
      </c>
      <c r="L44" s="81" t="s">
        <v>34</v>
      </c>
      <c r="M44" s="81" t="s">
        <v>34</v>
      </c>
      <c r="N44" s="81" t="s">
        <v>35</v>
      </c>
      <c r="O44" s="81" t="s">
        <v>36</v>
      </c>
      <c r="P44" s="81" t="s">
        <v>37</v>
      </c>
      <c r="Q44" s="81" t="s">
        <v>38</v>
      </c>
      <c r="R44" s="81" t="s">
        <v>39</v>
      </c>
      <c r="S44" s="81">
        <v>1.25</v>
      </c>
      <c r="T44" s="81">
        <v>12011.23</v>
      </c>
      <c r="U44" s="81">
        <v>11900.23</v>
      </c>
      <c r="V44" s="81" t="s">
        <v>60</v>
      </c>
      <c r="W44" s="81">
        <v>1010000</v>
      </c>
      <c r="X44" s="81">
        <v>15.63</v>
      </c>
      <c r="Y44" s="81">
        <v>15.636200000000001</v>
      </c>
      <c r="Z44" s="81" t="s">
        <v>381</v>
      </c>
    </row>
    <row r="45" spans="1:26" ht="16.5">
      <c r="A45" s="81" t="s">
        <v>315</v>
      </c>
      <c r="B45" s="82">
        <v>42988</v>
      </c>
      <c r="C45" s="81" t="s">
        <v>13</v>
      </c>
      <c r="D45" s="82">
        <v>50293</v>
      </c>
      <c r="E45" s="81" t="s">
        <v>4</v>
      </c>
      <c r="F45" s="81" t="s">
        <v>810</v>
      </c>
      <c r="G45" s="83">
        <v>9556000</v>
      </c>
      <c r="H45" s="83">
        <v>9556000</v>
      </c>
      <c r="I45" s="81" t="s">
        <v>33</v>
      </c>
      <c r="J45" s="81">
        <v>6</v>
      </c>
      <c r="K45" s="81">
        <v>2.25</v>
      </c>
      <c r="L45" s="81" t="s">
        <v>34</v>
      </c>
      <c r="M45" s="81" t="s">
        <v>34</v>
      </c>
      <c r="N45" s="81" t="s">
        <v>35</v>
      </c>
      <c r="O45" s="81" t="s">
        <v>36</v>
      </c>
      <c r="P45" s="81" t="s">
        <v>37</v>
      </c>
      <c r="Q45" s="81" t="s">
        <v>38</v>
      </c>
      <c r="R45" s="81" t="s">
        <v>39</v>
      </c>
      <c r="S45" s="81">
        <v>1.2549999999999999</v>
      </c>
      <c r="T45" s="81">
        <v>11706.35</v>
      </c>
      <c r="U45" s="81">
        <v>11601.19</v>
      </c>
      <c r="V45" s="81" t="s">
        <v>60</v>
      </c>
      <c r="W45" s="81">
        <v>1010000</v>
      </c>
      <c r="X45" s="81">
        <v>15.040100000000001</v>
      </c>
      <c r="Y45" s="81">
        <v>15.0542</v>
      </c>
      <c r="Z45" s="81" t="s">
        <v>316</v>
      </c>
    </row>
    <row r="46" spans="1:26" ht="16.5">
      <c r="A46" s="81" t="s">
        <v>280</v>
      </c>
      <c r="B46" s="82">
        <v>42623</v>
      </c>
      <c r="C46" s="81" t="s">
        <v>11</v>
      </c>
      <c r="D46" s="82">
        <v>49928</v>
      </c>
      <c r="E46" s="81" t="s">
        <v>5</v>
      </c>
      <c r="F46" s="81" t="s">
        <v>811</v>
      </c>
      <c r="G46" s="83">
        <v>9793000</v>
      </c>
      <c r="H46" s="83">
        <v>9793000</v>
      </c>
      <c r="I46" s="81" t="s">
        <v>33</v>
      </c>
      <c r="J46" s="81">
        <v>6</v>
      </c>
      <c r="K46" s="81">
        <v>1.5</v>
      </c>
      <c r="L46" s="81" t="s">
        <v>34</v>
      </c>
      <c r="M46" s="81" t="s">
        <v>34</v>
      </c>
      <c r="N46" s="81" t="s">
        <v>35</v>
      </c>
      <c r="O46" s="81" t="s">
        <v>36</v>
      </c>
      <c r="P46" s="81" t="s">
        <v>37</v>
      </c>
      <c r="Q46" s="81" t="s">
        <v>38</v>
      </c>
      <c r="R46" s="81" t="s">
        <v>39</v>
      </c>
      <c r="S46" s="81">
        <v>1.248</v>
      </c>
      <c r="T46" s="81">
        <v>10455.14</v>
      </c>
      <c r="U46" s="81">
        <v>10390.26</v>
      </c>
      <c r="V46" s="81" t="s">
        <v>60</v>
      </c>
      <c r="W46" s="81">
        <v>1010000</v>
      </c>
      <c r="X46" s="81">
        <v>15.0181</v>
      </c>
      <c r="Y46" s="81">
        <v>15.037800000000001</v>
      </c>
      <c r="Z46" s="81" t="s">
        <v>281</v>
      </c>
    </row>
    <row r="47" spans="1:26" ht="16.5">
      <c r="A47" s="81" t="s">
        <v>234</v>
      </c>
      <c r="B47" s="82">
        <v>42257</v>
      </c>
      <c r="C47" s="81" t="s">
        <v>4</v>
      </c>
      <c r="D47" s="82">
        <v>49562</v>
      </c>
      <c r="E47" s="81" t="s">
        <v>40</v>
      </c>
      <c r="F47" s="81" t="s">
        <v>812</v>
      </c>
      <c r="G47" s="83">
        <v>12359092</v>
      </c>
      <c r="H47" s="83">
        <v>12359092</v>
      </c>
      <c r="I47" s="81" t="s">
        <v>33</v>
      </c>
      <c r="J47" s="81">
        <v>6</v>
      </c>
      <c r="K47" s="81">
        <v>2.625</v>
      </c>
      <c r="L47" s="81" t="s">
        <v>34</v>
      </c>
      <c r="M47" s="81" t="s">
        <v>34</v>
      </c>
      <c r="N47" s="81" t="s">
        <v>35</v>
      </c>
      <c r="O47" s="81" t="s">
        <v>36</v>
      </c>
      <c r="P47" s="81" t="s">
        <v>37</v>
      </c>
      <c r="Q47" s="81" t="s">
        <v>38</v>
      </c>
      <c r="R47" s="81" t="s">
        <v>39</v>
      </c>
      <c r="S47" s="81">
        <v>1.2450000000000001</v>
      </c>
      <c r="T47" s="81">
        <v>12121.63</v>
      </c>
      <c r="U47" s="81">
        <v>12004.84</v>
      </c>
      <c r="V47" s="81" t="s">
        <v>60</v>
      </c>
      <c r="W47" s="81">
        <v>1010000</v>
      </c>
      <c r="X47" s="81">
        <v>13.323499999999999</v>
      </c>
      <c r="Y47" s="81">
        <v>13.349500000000001</v>
      </c>
      <c r="Z47" s="81" t="s">
        <v>235</v>
      </c>
    </row>
    <row r="48" spans="1:26" ht="16.5">
      <c r="A48" s="81" t="s">
        <v>236</v>
      </c>
      <c r="B48" s="82">
        <v>41618</v>
      </c>
      <c r="C48" s="81" t="s">
        <v>6</v>
      </c>
      <c r="D48" s="82">
        <v>48923</v>
      </c>
      <c r="E48" s="81" t="s">
        <v>11</v>
      </c>
      <c r="F48" s="81" t="s">
        <v>813</v>
      </c>
      <c r="G48" s="83">
        <v>17673540</v>
      </c>
      <c r="H48" s="83">
        <v>17673540</v>
      </c>
      <c r="I48" s="81" t="s">
        <v>33</v>
      </c>
      <c r="J48" s="81">
        <v>6</v>
      </c>
      <c r="K48" s="81">
        <v>3.75</v>
      </c>
      <c r="L48" s="81" t="s">
        <v>34</v>
      </c>
      <c r="M48" s="81" t="s">
        <v>34</v>
      </c>
      <c r="N48" s="81" t="s">
        <v>35</v>
      </c>
      <c r="O48" s="81" t="s">
        <v>36</v>
      </c>
      <c r="P48" s="81" t="s">
        <v>37</v>
      </c>
      <c r="Q48" s="81" t="s">
        <v>38</v>
      </c>
      <c r="R48" s="81" t="s">
        <v>39</v>
      </c>
      <c r="S48" s="81">
        <v>1.2430000000000001</v>
      </c>
      <c r="T48" s="81">
        <v>13353.04</v>
      </c>
      <c r="U48" s="81">
        <v>13272.62</v>
      </c>
      <c r="V48" s="81" t="s">
        <v>60</v>
      </c>
      <c r="W48" s="81">
        <v>1010000</v>
      </c>
      <c r="X48" s="81">
        <v>11.559900000000001</v>
      </c>
      <c r="Y48" s="81">
        <v>11.5931</v>
      </c>
      <c r="Z48" s="81" t="s">
        <v>237</v>
      </c>
    </row>
    <row r="49" spans="1:26" ht="16.5">
      <c r="A49" s="81" t="s">
        <v>238</v>
      </c>
      <c r="B49" s="82">
        <v>40887</v>
      </c>
      <c r="C49" s="81" t="s">
        <v>11</v>
      </c>
      <c r="D49" s="82">
        <v>48192</v>
      </c>
      <c r="E49" s="81" t="s">
        <v>5</v>
      </c>
      <c r="F49" s="81" t="s">
        <v>814</v>
      </c>
      <c r="G49" s="83">
        <v>19960560</v>
      </c>
      <c r="H49" s="83">
        <v>19863560</v>
      </c>
      <c r="I49" s="81" t="s">
        <v>33</v>
      </c>
      <c r="J49" s="81">
        <v>6</v>
      </c>
      <c r="K49" s="81">
        <v>4</v>
      </c>
      <c r="L49" s="81" t="s">
        <v>34</v>
      </c>
      <c r="M49" s="81" t="s">
        <v>34</v>
      </c>
      <c r="N49" s="81" t="s">
        <v>35</v>
      </c>
      <c r="O49" s="81" t="s">
        <v>36</v>
      </c>
      <c r="P49" s="81" t="s">
        <v>37</v>
      </c>
      <c r="Q49" s="81" t="s">
        <v>38</v>
      </c>
      <c r="R49" s="81" t="s">
        <v>39</v>
      </c>
      <c r="S49" s="81">
        <v>1.2430000000000001</v>
      </c>
      <c r="T49" s="81">
        <v>13218.42</v>
      </c>
      <c r="U49" s="81">
        <v>13132.32</v>
      </c>
      <c r="V49" s="81" t="s">
        <v>60</v>
      </c>
      <c r="W49" s="81">
        <v>1010000</v>
      </c>
      <c r="X49" s="81">
        <v>10.0868</v>
      </c>
      <c r="Y49" s="81">
        <v>10.1233</v>
      </c>
      <c r="Z49" s="81" t="s">
        <v>239</v>
      </c>
    </row>
    <row r="50" spans="1:26" ht="16.5">
      <c r="A50" s="81" t="s">
        <v>240</v>
      </c>
      <c r="B50" s="82">
        <v>40522</v>
      </c>
      <c r="C50" s="81" t="s">
        <v>10</v>
      </c>
      <c r="D50" s="82">
        <v>47827</v>
      </c>
      <c r="E50" s="81" t="s">
        <v>6</v>
      </c>
      <c r="F50" s="81" t="s">
        <v>815</v>
      </c>
      <c r="G50" s="83">
        <v>11519300</v>
      </c>
      <c r="H50" s="83">
        <v>11258300</v>
      </c>
      <c r="I50" s="81" t="s">
        <v>33</v>
      </c>
      <c r="J50" s="81">
        <v>6</v>
      </c>
      <c r="K50" s="81">
        <v>4.75</v>
      </c>
      <c r="L50" s="81" t="s">
        <v>34</v>
      </c>
      <c r="M50" s="81" t="s">
        <v>34</v>
      </c>
      <c r="N50" s="81" t="s">
        <v>35</v>
      </c>
      <c r="O50" s="81" t="s">
        <v>36</v>
      </c>
      <c r="P50" s="81" t="s">
        <v>37</v>
      </c>
      <c r="Q50" s="81" t="s">
        <v>38</v>
      </c>
      <c r="R50" s="81" t="s">
        <v>39</v>
      </c>
      <c r="S50" s="81">
        <v>1.242</v>
      </c>
      <c r="T50" s="81">
        <v>13785.71</v>
      </c>
      <c r="U50" s="81">
        <v>13681.89</v>
      </c>
      <c r="V50" s="81" t="s">
        <v>60</v>
      </c>
      <c r="W50" s="81">
        <v>1010000</v>
      </c>
      <c r="X50" s="81">
        <v>9.1640999999999995</v>
      </c>
      <c r="Y50" s="81">
        <v>9.2011000000000003</v>
      </c>
      <c r="Z50" s="81" t="s">
        <v>241</v>
      </c>
    </row>
    <row r="51" spans="1:26" ht="16.5">
      <c r="A51" s="81" t="s">
        <v>242</v>
      </c>
      <c r="B51" s="82">
        <v>40157</v>
      </c>
      <c r="C51" s="81" t="s">
        <v>4</v>
      </c>
      <c r="D51" s="82">
        <v>47462</v>
      </c>
      <c r="E51" s="81" t="s">
        <v>40</v>
      </c>
      <c r="F51" s="81" t="s">
        <v>816</v>
      </c>
      <c r="G51" s="83">
        <v>11450300</v>
      </c>
      <c r="H51" s="83">
        <v>11103300</v>
      </c>
      <c r="I51" s="81" t="s">
        <v>33</v>
      </c>
      <c r="J51" s="81">
        <v>6</v>
      </c>
      <c r="K51" s="81">
        <v>5.5</v>
      </c>
      <c r="L51" s="81" t="s">
        <v>34</v>
      </c>
      <c r="M51" s="81" t="s">
        <v>34</v>
      </c>
      <c r="N51" s="81" t="s">
        <v>35</v>
      </c>
      <c r="O51" s="81" t="s">
        <v>36</v>
      </c>
      <c r="P51" s="81" t="s">
        <v>37</v>
      </c>
      <c r="Q51" s="81" t="s">
        <v>38</v>
      </c>
      <c r="R51" s="81" t="s">
        <v>39</v>
      </c>
      <c r="S51" s="81">
        <v>1.24</v>
      </c>
      <c r="T51" s="81">
        <v>14219.82</v>
      </c>
      <c r="U51" s="81">
        <v>14097.65</v>
      </c>
      <c r="V51" s="81" t="s">
        <v>60</v>
      </c>
      <c r="W51" s="81">
        <v>1010000</v>
      </c>
      <c r="X51" s="81">
        <v>8.2988999999999997</v>
      </c>
      <c r="Y51" s="81">
        <v>8.3352000000000004</v>
      </c>
      <c r="Z51" s="81" t="s">
        <v>243</v>
      </c>
    </row>
    <row r="52" spans="1:26" ht="16.5">
      <c r="A52" s="81" t="s">
        <v>244</v>
      </c>
      <c r="B52" s="82">
        <v>39517</v>
      </c>
      <c r="C52" s="81" t="s">
        <v>40</v>
      </c>
      <c r="D52" s="82">
        <v>46822</v>
      </c>
      <c r="E52" s="81" t="s">
        <v>10</v>
      </c>
      <c r="F52" s="81" t="s">
        <v>817</v>
      </c>
      <c r="G52" s="83">
        <v>10979000</v>
      </c>
      <c r="H52" s="83">
        <v>10927000</v>
      </c>
      <c r="I52" s="81" t="s">
        <v>33</v>
      </c>
      <c r="J52" s="81">
        <v>6</v>
      </c>
      <c r="K52" s="81">
        <v>5.5</v>
      </c>
      <c r="L52" s="81" t="s">
        <v>34</v>
      </c>
      <c r="M52" s="81" t="s">
        <v>34</v>
      </c>
      <c r="N52" s="81" t="s">
        <v>35</v>
      </c>
      <c r="O52" s="81" t="s">
        <v>36</v>
      </c>
      <c r="P52" s="81" t="s">
        <v>37</v>
      </c>
      <c r="Q52" s="81" t="s">
        <v>38</v>
      </c>
      <c r="R52" s="81" t="s">
        <v>39</v>
      </c>
      <c r="S52" s="81">
        <v>1.25</v>
      </c>
      <c r="T52" s="81">
        <v>13686.51</v>
      </c>
      <c r="U52" s="81">
        <v>13429.45</v>
      </c>
      <c r="V52" s="81" t="s">
        <v>60</v>
      </c>
      <c r="W52" s="81">
        <v>1010000</v>
      </c>
      <c r="X52" s="81">
        <v>7.0113000000000003</v>
      </c>
      <c r="Y52" s="81">
        <v>7.0435999999999996</v>
      </c>
      <c r="Z52" s="81" t="s">
        <v>245</v>
      </c>
    </row>
    <row r="53" spans="1:26" ht="16.5">
      <c r="A53" s="81" t="s">
        <v>246</v>
      </c>
      <c r="B53" s="82">
        <v>39151</v>
      </c>
      <c r="C53" s="81" t="s">
        <v>11</v>
      </c>
      <c r="D53" s="82">
        <v>46456</v>
      </c>
      <c r="E53" s="81" t="s">
        <v>5</v>
      </c>
      <c r="F53" s="81" t="s">
        <v>722</v>
      </c>
      <c r="G53" s="83">
        <v>5203000</v>
      </c>
      <c r="H53" s="83">
        <v>5181000</v>
      </c>
      <c r="I53" s="81" t="s">
        <v>33</v>
      </c>
      <c r="J53" s="81">
        <v>6</v>
      </c>
      <c r="K53" s="81">
        <v>5.25</v>
      </c>
      <c r="L53" s="81" t="s">
        <v>34</v>
      </c>
      <c r="M53" s="81" t="s">
        <v>34</v>
      </c>
      <c r="N53" s="81" t="s">
        <v>35</v>
      </c>
      <c r="O53" s="81" t="s">
        <v>36</v>
      </c>
      <c r="P53" s="81" t="s">
        <v>37</v>
      </c>
      <c r="Q53" s="81" t="s">
        <v>38</v>
      </c>
      <c r="R53" s="81" t="s">
        <v>39</v>
      </c>
      <c r="S53" s="81">
        <v>1.2390000000000001</v>
      </c>
      <c r="T53" s="81">
        <v>13121.45</v>
      </c>
      <c r="U53" s="81">
        <v>12875.24</v>
      </c>
      <c r="V53" s="81" t="s">
        <v>60</v>
      </c>
      <c r="W53" s="81">
        <v>1010000</v>
      </c>
      <c r="X53" s="81">
        <v>6.3341000000000003</v>
      </c>
      <c r="Y53" s="81">
        <v>6.3632999999999997</v>
      </c>
      <c r="Z53" s="81" t="s">
        <v>247</v>
      </c>
    </row>
    <row r="54" spans="1:26" ht="16.5">
      <c r="A54" s="81" t="s">
        <v>395</v>
      </c>
      <c r="B54" s="82">
        <v>38786</v>
      </c>
      <c r="C54" s="81" t="s">
        <v>10</v>
      </c>
      <c r="D54" s="82">
        <v>46091</v>
      </c>
      <c r="E54" s="81" t="s">
        <v>6</v>
      </c>
      <c r="F54" s="81" t="s">
        <v>723</v>
      </c>
      <c r="G54" s="83">
        <v>6670210</v>
      </c>
      <c r="H54" s="83">
        <v>6649210</v>
      </c>
      <c r="I54" s="81" t="s">
        <v>33</v>
      </c>
      <c r="J54" s="81">
        <v>6</v>
      </c>
      <c r="K54" s="81">
        <v>5.75</v>
      </c>
      <c r="L54" s="81" t="s">
        <v>34</v>
      </c>
      <c r="M54" s="81" t="s">
        <v>34</v>
      </c>
      <c r="N54" s="81" t="s">
        <v>35</v>
      </c>
      <c r="O54" s="81" t="s">
        <v>36</v>
      </c>
      <c r="P54" s="81" t="s">
        <v>37</v>
      </c>
      <c r="Q54" s="81" t="s">
        <v>38</v>
      </c>
      <c r="R54" s="81" t="s">
        <v>39</v>
      </c>
      <c r="S54" s="81">
        <v>1.23</v>
      </c>
      <c r="T54" s="81">
        <v>13097.07</v>
      </c>
      <c r="U54" s="81">
        <v>12827.36</v>
      </c>
      <c r="V54" s="81" t="s">
        <v>60</v>
      </c>
      <c r="W54" s="81">
        <v>1010000</v>
      </c>
      <c r="X54" s="81">
        <v>5.5289000000000001</v>
      </c>
      <c r="Y54" s="81">
        <v>5.5549999999999997</v>
      </c>
      <c r="Z54" s="81" t="s">
        <v>396</v>
      </c>
    </row>
    <row r="55" spans="1:26" ht="16.5">
      <c r="A55" s="81" t="s">
        <v>462</v>
      </c>
      <c r="B55" s="82">
        <v>43534</v>
      </c>
      <c r="C55" s="81" t="s">
        <v>13</v>
      </c>
      <c r="D55" s="82">
        <v>54492</v>
      </c>
      <c r="E55" s="81" t="s">
        <v>5</v>
      </c>
      <c r="F55" s="81" t="s">
        <v>724</v>
      </c>
      <c r="G55" s="83">
        <v>16187014</v>
      </c>
      <c r="H55" s="83">
        <v>16187014</v>
      </c>
      <c r="I55" s="81" t="s">
        <v>33</v>
      </c>
      <c r="J55" s="81">
        <v>6</v>
      </c>
      <c r="K55" s="81">
        <v>2</v>
      </c>
      <c r="L55" s="81" t="s">
        <v>34</v>
      </c>
      <c r="M55" s="81" t="s">
        <v>34</v>
      </c>
      <c r="N55" s="81" t="s">
        <v>35</v>
      </c>
      <c r="O55" s="81" t="s">
        <v>36</v>
      </c>
      <c r="P55" s="81" t="s">
        <v>37</v>
      </c>
      <c r="Q55" s="81" t="s">
        <v>38</v>
      </c>
      <c r="R55" s="81" t="s">
        <v>39</v>
      </c>
      <c r="S55" s="81">
        <v>1.25</v>
      </c>
      <c r="T55" s="81">
        <v>11940.77</v>
      </c>
      <c r="U55" s="81">
        <v>11847.3</v>
      </c>
      <c r="V55" s="81" t="s">
        <v>60</v>
      </c>
      <c r="W55" s="81">
        <v>1010000</v>
      </c>
      <c r="X55" s="81">
        <v>23.098800000000001</v>
      </c>
      <c r="Y55" s="81">
        <v>22.937200000000001</v>
      </c>
      <c r="Z55" s="81" t="s">
        <v>463</v>
      </c>
    </row>
    <row r="56" spans="1:26" ht="16.5">
      <c r="A56" s="81" t="s">
        <v>340</v>
      </c>
      <c r="B56" s="82">
        <v>43169</v>
      </c>
      <c r="C56" s="81" t="s">
        <v>11</v>
      </c>
      <c r="D56" s="82">
        <v>54127</v>
      </c>
      <c r="E56" s="81" t="s">
        <v>6</v>
      </c>
      <c r="F56" s="81" t="s">
        <v>818</v>
      </c>
      <c r="G56" s="83">
        <v>22902000</v>
      </c>
      <c r="H56" s="83">
        <v>22902000</v>
      </c>
      <c r="I56" s="81" t="s">
        <v>33</v>
      </c>
      <c r="J56" s="81">
        <v>6</v>
      </c>
      <c r="K56" s="81">
        <v>2.625</v>
      </c>
      <c r="L56" s="81" t="s">
        <v>34</v>
      </c>
      <c r="M56" s="81" t="s">
        <v>34</v>
      </c>
      <c r="N56" s="81" t="s">
        <v>35</v>
      </c>
      <c r="O56" s="81" t="s">
        <v>36</v>
      </c>
      <c r="P56" s="81" t="s">
        <v>37</v>
      </c>
      <c r="Q56" s="81" t="s">
        <v>38</v>
      </c>
      <c r="R56" s="81" t="s">
        <v>39</v>
      </c>
      <c r="S56" s="81">
        <v>1.252</v>
      </c>
      <c r="T56" s="81">
        <v>13408.28</v>
      </c>
      <c r="U56" s="81">
        <v>13285.59</v>
      </c>
      <c r="V56" s="81" t="s">
        <v>60</v>
      </c>
      <c r="W56" s="81">
        <v>1010000</v>
      </c>
      <c r="X56" s="81">
        <v>21.4314</v>
      </c>
      <c r="Y56" s="81">
        <v>21.307300000000001</v>
      </c>
      <c r="Z56" s="81" t="s">
        <v>341</v>
      </c>
    </row>
    <row r="57" spans="1:26" ht="16.5">
      <c r="A57" s="81" t="s">
        <v>296</v>
      </c>
      <c r="B57" s="82">
        <v>42804</v>
      </c>
      <c r="C57" s="81" t="s">
        <v>10</v>
      </c>
      <c r="D57" s="82">
        <v>53761</v>
      </c>
      <c r="E57" s="81" t="s">
        <v>13</v>
      </c>
      <c r="F57" s="81" t="s">
        <v>726</v>
      </c>
      <c r="G57" s="83">
        <v>21413000</v>
      </c>
      <c r="H57" s="83">
        <v>21413000</v>
      </c>
      <c r="I57" s="81" t="s">
        <v>33</v>
      </c>
      <c r="J57" s="81">
        <v>6</v>
      </c>
      <c r="K57" s="81">
        <v>2.125</v>
      </c>
      <c r="L57" s="81" t="s">
        <v>34</v>
      </c>
      <c r="M57" s="81" t="s">
        <v>34</v>
      </c>
      <c r="N57" s="81" t="s">
        <v>35</v>
      </c>
      <c r="O57" s="81" t="s">
        <v>36</v>
      </c>
      <c r="P57" s="81" t="s">
        <v>37</v>
      </c>
      <c r="Q57" s="81" t="s">
        <v>38</v>
      </c>
      <c r="R57" s="81" t="s">
        <v>39</v>
      </c>
      <c r="S57" s="81">
        <v>1.2509999999999999</v>
      </c>
      <c r="T57" s="81">
        <v>12128.78</v>
      </c>
      <c r="U57" s="81">
        <v>12032.92</v>
      </c>
      <c r="V57" s="81" t="s">
        <v>60</v>
      </c>
      <c r="W57" s="81">
        <v>1010000</v>
      </c>
      <c r="X57" s="81">
        <v>21.599599999999999</v>
      </c>
      <c r="Y57" s="81">
        <v>21.483599999999999</v>
      </c>
      <c r="Z57" s="81" t="s">
        <v>297</v>
      </c>
    </row>
    <row r="58" spans="1:26" ht="16.5">
      <c r="A58" s="81" t="s">
        <v>265</v>
      </c>
      <c r="B58" s="82">
        <v>42439</v>
      </c>
      <c r="C58" s="81" t="s">
        <v>4</v>
      </c>
      <c r="D58" s="82">
        <v>53396</v>
      </c>
      <c r="E58" s="81" t="s">
        <v>11</v>
      </c>
      <c r="F58" s="81" t="s">
        <v>727</v>
      </c>
      <c r="G58" s="83">
        <v>14387000</v>
      </c>
      <c r="H58" s="83">
        <v>14387000</v>
      </c>
      <c r="I58" s="81" t="s">
        <v>33</v>
      </c>
      <c r="J58" s="81">
        <v>6</v>
      </c>
      <c r="K58" s="81">
        <v>2</v>
      </c>
      <c r="L58" s="81" t="s">
        <v>34</v>
      </c>
      <c r="M58" s="81" t="s">
        <v>34</v>
      </c>
      <c r="N58" s="81" t="s">
        <v>35</v>
      </c>
      <c r="O58" s="81" t="s">
        <v>36</v>
      </c>
      <c r="P58" s="81" t="s">
        <v>37</v>
      </c>
      <c r="Q58" s="81" t="s">
        <v>38</v>
      </c>
      <c r="R58" s="81" t="s">
        <v>39</v>
      </c>
      <c r="S58" s="81">
        <v>1.2509999999999999</v>
      </c>
      <c r="T58" s="81">
        <v>11779.3</v>
      </c>
      <c r="U58" s="81">
        <v>11689.13</v>
      </c>
      <c r="V58" s="81" t="s">
        <v>60</v>
      </c>
      <c r="W58" s="81">
        <v>1010000</v>
      </c>
      <c r="X58" s="81">
        <v>21.1632</v>
      </c>
      <c r="Y58" s="81">
        <v>21.063700000000001</v>
      </c>
      <c r="Z58" s="81" t="s">
        <v>266</v>
      </c>
    </row>
    <row r="59" spans="1:26" ht="16.5">
      <c r="A59" s="81" t="s">
        <v>248</v>
      </c>
      <c r="B59" s="82">
        <v>41983</v>
      </c>
      <c r="C59" s="81" t="s">
        <v>5</v>
      </c>
      <c r="D59" s="82">
        <v>52941</v>
      </c>
      <c r="E59" s="81" t="s">
        <v>11</v>
      </c>
      <c r="F59" s="81" t="s">
        <v>819</v>
      </c>
      <c r="G59" s="83">
        <v>15083029</v>
      </c>
      <c r="H59" s="83">
        <v>15083029</v>
      </c>
      <c r="I59" s="81" t="s">
        <v>33</v>
      </c>
      <c r="J59" s="81">
        <v>6</v>
      </c>
      <c r="K59" s="81">
        <v>2.75</v>
      </c>
      <c r="L59" s="81" t="s">
        <v>34</v>
      </c>
      <c r="M59" s="81" t="s">
        <v>34</v>
      </c>
      <c r="N59" s="81" t="s">
        <v>35</v>
      </c>
      <c r="O59" s="81" t="s">
        <v>36</v>
      </c>
      <c r="P59" s="81" t="s">
        <v>37</v>
      </c>
      <c r="Q59" s="81" t="s">
        <v>38</v>
      </c>
      <c r="R59" s="81" t="s">
        <v>39</v>
      </c>
      <c r="S59" s="81">
        <v>1.2509999999999999</v>
      </c>
      <c r="T59" s="81">
        <v>13299.36</v>
      </c>
      <c r="U59" s="81">
        <v>13242.67</v>
      </c>
      <c r="V59" s="81" t="s">
        <v>60</v>
      </c>
      <c r="W59" s="81">
        <v>1010000</v>
      </c>
      <c r="X59" s="81">
        <v>19.398800000000001</v>
      </c>
      <c r="Y59" s="81">
        <v>19.334199999999999</v>
      </c>
      <c r="Z59" s="81" t="s">
        <v>249</v>
      </c>
    </row>
    <row r="60" spans="1:26" ht="16.5">
      <c r="A60" s="81" t="s">
        <v>250</v>
      </c>
      <c r="B60" s="82">
        <v>41253</v>
      </c>
      <c r="C60" s="81" t="s">
        <v>40</v>
      </c>
      <c r="D60" s="82">
        <v>52210</v>
      </c>
      <c r="E60" s="81" t="s">
        <v>5</v>
      </c>
      <c r="F60" s="81" t="s">
        <v>820</v>
      </c>
      <c r="G60" s="83">
        <v>20278021</v>
      </c>
      <c r="H60" s="83">
        <v>20278021</v>
      </c>
      <c r="I60" s="81" t="s">
        <v>33</v>
      </c>
      <c r="J60" s="81">
        <v>6</v>
      </c>
      <c r="K60" s="81">
        <v>3</v>
      </c>
      <c r="L60" s="81" t="s">
        <v>34</v>
      </c>
      <c r="M60" s="81" t="s">
        <v>34</v>
      </c>
      <c r="N60" s="81" t="s">
        <v>35</v>
      </c>
      <c r="O60" s="81" t="s">
        <v>36</v>
      </c>
      <c r="P60" s="81" t="s">
        <v>37</v>
      </c>
      <c r="Q60" s="81" t="s">
        <v>38</v>
      </c>
      <c r="R60" s="81" t="s">
        <v>39</v>
      </c>
      <c r="S60" s="81">
        <v>1.25</v>
      </c>
      <c r="T60" s="81">
        <v>13589.26</v>
      </c>
      <c r="U60" s="81">
        <v>13525.3</v>
      </c>
      <c r="V60" s="81" t="s">
        <v>60</v>
      </c>
      <c r="W60" s="81">
        <v>1010000</v>
      </c>
      <c r="X60" s="81">
        <v>17.89</v>
      </c>
      <c r="Y60" s="81">
        <v>17.8553</v>
      </c>
      <c r="Z60" s="81" t="s">
        <v>251</v>
      </c>
    </row>
    <row r="61" spans="1:26" ht="16.5">
      <c r="A61" s="81" t="s">
        <v>421</v>
      </c>
      <c r="B61" s="82">
        <v>43353</v>
      </c>
      <c r="C61" s="81" t="s">
        <v>40</v>
      </c>
      <c r="D61" s="82">
        <v>61616</v>
      </c>
      <c r="E61" s="81" t="s">
        <v>40</v>
      </c>
      <c r="F61" s="81" t="s">
        <v>821</v>
      </c>
      <c r="G61" s="83">
        <v>3558000</v>
      </c>
      <c r="H61" s="83">
        <v>3558000</v>
      </c>
      <c r="I61" s="81" t="s">
        <v>33</v>
      </c>
      <c r="J61" s="81">
        <v>6</v>
      </c>
      <c r="K61" s="81">
        <v>2</v>
      </c>
      <c r="L61" s="81" t="s">
        <v>34</v>
      </c>
      <c r="M61" s="81" t="s">
        <v>34</v>
      </c>
      <c r="N61" s="81" t="s">
        <v>35</v>
      </c>
      <c r="O61" s="81" t="s">
        <v>36</v>
      </c>
      <c r="P61" s="81" t="s">
        <v>37</v>
      </c>
      <c r="Q61" s="81" t="s">
        <v>38</v>
      </c>
      <c r="R61" s="81" t="s">
        <v>39</v>
      </c>
      <c r="S61" s="81">
        <v>1.27</v>
      </c>
      <c r="T61" s="81">
        <v>12748.83</v>
      </c>
      <c r="U61" s="81">
        <v>12658.18</v>
      </c>
      <c r="V61" s="81" t="s">
        <v>60</v>
      </c>
      <c r="W61" s="81">
        <v>1010000</v>
      </c>
      <c r="X61" s="81">
        <v>34.255699999999997</v>
      </c>
      <c r="Y61" s="81">
        <v>33.374200000000002</v>
      </c>
      <c r="Z61" s="81" t="s">
        <v>422</v>
      </c>
    </row>
    <row r="62" spans="1:26" ht="16.5">
      <c r="A62" s="81" t="s">
        <v>286</v>
      </c>
      <c r="B62" s="82">
        <v>42623</v>
      </c>
      <c r="C62" s="81" t="s">
        <v>11</v>
      </c>
      <c r="D62" s="82">
        <v>60885</v>
      </c>
      <c r="E62" s="81" t="s">
        <v>10</v>
      </c>
      <c r="F62" s="81" t="s">
        <v>822</v>
      </c>
      <c r="G62" s="83">
        <v>2184000</v>
      </c>
      <c r="H62" s="83">
        <v>2184000</v>
      </c>
      <c r="I62" s="81" t="s">
        <v>33</v>
      </c>
      <c r="J62" s="81">
        <v>6</v>
      </c>
      <c r="K62" s="81">
        <v>1.5</v>
      </c>
      <c r="L62" s="81" t="s">
        <v>34</v>
      </c>
      <c r="M62" s="81" t="s">
        <v>34</v>
      </c>
      <c r="N62" s="81" t="s">
        <v>35</v>
      </c>
      <c r="O62" s="81" t="s">
        <v>36</v>
      </c>
      <c r="P62" s="81" t="s">
        <v>37</v>
      </c>
      <c r="Q62" s="81" t="s">
        <v>38</v>
      </c>
      <c r="R62" s="81" t="s">
        <v>39</v>
      </c>
      <c r="S62" s="81">
        <v>1.2629999999999999</v>
      </c>
      <c r="T62" s="81">
        <v>10907.39</v>
      </c>
      <c r="U62" s="81">
        <v>10849.67</v>
      </c>
      <c r="V62" s="81" t="s">
        <v>60</v>
      </c>
      <c r="W62" s="81">
        <v>1010000</v>
      </c>
      <c r="X62" s="81">
        <v>35.159199999999998</v>
      </c>
      <c r="Y62" s="81">
        <v>34.287999999999997</v>
      </c>
      <c r="Z62" s="81" t="s">
        <v>287</v>
      </c>
    </row>
    <row r="63" spans="1:26" ht="16.5">
      <c r="A63" s="81" t="s">
        <v>559</v>
      </c>
      <c r="B63" s="82">
        <v>43679</v>
      </c>
      <c r="C63" s="81" t="s">
        <v>10</v>
      </c>
      <c r="D63" s="82">
        <v>44410</v>
      </c>
      <c r="E63" s="81" t="s">
        <v>40</v>
      </c>
      <c r="F63" s="81" t="s">
        <v>823</v>
      </c>
      <c r="G63" s="83">
        <v>5500000</v>
      </c>
      <c r="H63" s="83">
        <v>5500000</v>
      </c>
      <c r="I63" s="81" t="s">
        <v>33</v>
      </c>
      <c r="J63" s="81">
        <v>3</v>
      </c>
      <c r="K63" s="81">
        <v>1.18</v>
      </c>
      <c r="L63" s="81" t="s">
        <v>34</v>
      </c>
      <c r="M63" s="81" t="s">
        <v>34</v>
      </c>
      <c r="N63" s="81" t="s">
        <v>35</v>
      </c>
      <c r="O63" s="81" t="s">
        <v>36</v>
      </c>
      <c r="P63" s="81" t="s">
        <v>37</v>
      </c>
      <c r="Q63" s="81" t="s">
        <v>38</v>
      </c>
      <c r="R63" s="81" t="s">
        <v>39</v>
      </c>
      <c r="S63" s="81">
        <v>1.2</v>
      </c>
      <c r="T63" s="81">
        <v>10004.83</v>
      </c>
      <c r="U63" s="81">
        <v>9996.18</v>
      </c>
      <c r="V63" s="81" t="s">
        <v>66</v>
      </c>
      <c r="W63" s="81">
        <v>4000000</v>
      </c>
      <c r="X63" s="81">
        <v>1.9007000000000001</v>
      </c>
      <c r="Y63" s="81">
        <v>1.9055</v>
      </c>
      <c r="Z63" s="81" t="s">
        <v>560</v>
      </c>
    </row>
    <row r="64" spans="1:26" ht="16.5">
      <c r="A64" s="81" t="s">
        <v>503</v>
      </c>
      <c r="B64" s="82">
        <v>43618</v>
      </c>
      <c r="C64" s="81" t="s">
        <v>13</v>
      </c>
      <c r="D64" s="82">
        <v>44349</v>
      </c>
      <c r="E64" s="81" t="s">
        <v>5</v>
      </c>
      <c r="F64" s="81" t="s">
        <v>824</v>
      </c>
      <c r="G64" s="83">
        <v>11700000</v>
      </c>
      <c r="H64" s="83">
        <v>11700000</v>
      </c>
      <c r="I64" s="81" t="s">
        <v>33</v>
      </c>
      <c r="J64" s="81">
        <v>3</v>
      </c>
      <c r="K64" s="81">
        <v>1.585</v>
      </c>
      <c r="L64" s="81" t="s">
        <v>34</v>
      </c>
      <c r="M64" s="81" t="s">
        <v>34</v>
      </c>
      <c r="N64" s="81" t="s">
        <v>35</v>
      </c>
      <c r="O64" s="81" t="s">
        <v>36</v>
      </c>
      <c r="P64" s="81" t="s">
        <v>37</v>
      </c>
      <c r="Q64" s="81" t="s">
        <v>38</v>
      </c>
      <c r="R64" s="81" t="s">
        <v>39</v>
      </c>
      <c r="S64" s="81">
        <v>1.2170000000000001</v>
      </c>
      <c r="T64" s="81">
        <v>10101.91</v>
      </c>
      <c r="U64" s="81">
        <v>10064.01</v>
      </c>
      <c r="V64" s="81" t="s">
        <v>66</v>
      </c>
      <c r="W64" s="81">
        <v>4000000</v>
      </c>
      <c r="X64" s="81">
        <v>1.7283999999999999</v>
      </c>
      <c r="Y64" s="81">
        <v>1.7316</v>
      </c>
      <c r="Z64" s="81" t="s">
        <v>504</v>
      </c>
    </row>
    <row r="65" spans="1:26" ht="16.5">
      <c r="A65" s="81" t="s">
        <v>475</v>
      </c>
      <c r="B65" s="82">
        <v>43557</v>
      </c>
      <c r="C65" s="81" t="s">
        <v>6</v>
      </c>
      <c r="D65" s="82">
        <v>44288</v>
      </c>
      <c r="E65" s="81" t="s">
        <v>10</v>
      </c>
      <c r="F65" s="81" t="s">
        <v>825</v>
      </c>
      <c r="G65" s="83">
        <v>13600000</v>
      </c>
      <c r="H65" s="83">
        <v>13600000</v>
      </c>
      <c r="I65" s="81" t="s">
        <v>33</v>
      </c>
      <c r="J65" s="81">
        <v>3</v>
      </c>
      <c r="K65" s="81">
        <v>1.74</v>
      </c>
      <c r="L65" s="81" t="s">
        <v>34</v>
      </c>
      <c r="M65" s="81" t="s">
        <v>34</v>
      </c>
      <c r="N65" s="81" t="s">
        <v>35</v>
      </c>
      <c r="O65" s="81" t="s">
        <v>36</v>
      </c>
      <c r="P65" s="81" t="s">
        <v>37</v>
      </c>
      <c r="Q65" s="81" t="s">
        <v>38</v>
      </c>
      <c r="R65" s="81" t="s">
        <v>39</v>
      </c>
      <c r="S65" s="81">
        <v>1.216</v>
      </c>
      <c r="T65" s="81">
        <v>10109.85</v>
      </c>
      <c r="U65" s="81">
        <v>10082.65</v>
      </c>
      <c r="V65" s="81" t="s">
        <v>66</v>
      </c>
      <c r="W65" s="81">
        <v>4000000</v>
      </c>
      <c r="X65" s="81">
        <v>1.5653999999999999</v>
      </c>
      <c r="Y65" s="81">
        <v>1.5692999999999999</v>
      </c>
      <c r="Z65" s="81" t="s">
        <v>476</v>
      </c>
    </row>
    <row r="66" spans="1:26" ht="16.5">
      <c r="A66" s="81" t="s">
        <v>464</v>
      </c>
      <c r="B66" s="82">
        <v>43498</v>
      </c>
      <c r="C66" s="81" t="s">
        <v>11</v>
      </c>
      <c r="D66" s="82">
        <v>44229</v>
      </c>
      <c r="E66" s="81" t="s">
        <v>6</v>
      </c>
      <c r="F66" s="81" t="s">
        <v>656</v>
      </c>
      <c r="G66" s="83">
        <v>12950000</v>
      </c>
      <c r="H66" s="83">
        <v>12950000</v>
      </c>
      <c r="I66" s="81" t="s">
        <v>33</v>
      </c>
      <c r="J66" s="81">
        <v>3</v>
      </c>
      <c r="K66" s="81">
        <v>1.81</v>
      </c>
      <c r="L66" s="81" t="s">
        <v>34</v>
      </c>
      <c r="M66" s="81" t="s">
        <v>34</v>
      </c>
      <c r="N66" s="81" t="s">
        <v>35</v>
      </c>
      <c r="O66" s="81" t="s">
        <v>36</v>
      </c>
      <c r="P66" s="81" t="s">
        <v>37</v>
      </c>
      <c r="Q66" s="81" t="s">
        <v>38</v>
      </c>
      <c r="R66" s="81" t="s">
        <v>39</v>
      </c>
      <c r="S66" s="81">
        <v>1.19</v>
      </c>
      <c r="T66" s="81">
        <v>10100.83</v>
      </c>
      <c r="U66" s="81">
        <v>10087.56</v>
      </c>
      <c r="V66" s="81" t="s">
        <v>66</v>
      </c>
      <c r="W66" s="81">
        <v>4000000</v>
      </c>
      <c r="X66" s="81">
        <v>1.4058999999999999</v>
      </c>
      <c r="Y66" s="81">
        <v>1.4133</v>
      </c>
      <c r="Z66" s="81" t="s">
        <v>465</v>
      </c>
    </row>
    <row r="67" spans="1:26" ht="16.5">
      <c r="A67" s="81" t="s">
        <v>453</v>
      </c>
      <c r="B67" s="82">
        <v>43436</v>
      </c>
      <c r="C67" s="81" t="s">
        <v>13</v>
      </c>
      <c r="D67" s="82">
        <v>44167</v>
      </c>
      <c r="E67" s="81" t="s">
        <v>5</v>
      </c>
      <c r="F67" s="81" t="s">
        <v>826</v>
      </c>
      <c r="G67" s="83">
        <v>10900000</v>
      </c>
      <c r="H67" s="83">
        <v>10900000</v>
      </c>
      <c r="I67" s="81" t="s">
        <v>33</v>
      </c>
      <c r="J67" s="81">
        <v>3</v>
      </c>
      <c r="K67" s="81">
        <v>1.93</v>
      </c>
      <c r="L67" s="81" t="s">
        <v>34</v>
      </c>
      <c r="M67" s="81" t="s">
        <v>34</v>
      </c>
      <c r="N67" s="81" t="s">
        <v>35</v>
      </c>
      <c r="O67" s="81" t="s">
        <v>36</v>
      </c>
      <c r="P67" s="81" t="s">
        <v>37</v>
      </c>
      <c r="Q67" s="81" t="s">
        <v>38</v>
      </c>
      <c r="R67" s="81" t="s">
        <v>39</v>
      </c>
      <c r="S67" s="81">
        <v>1.1759999999999999</v>
      </c>
      <c r="T67" s="81">
        <v>10140.33</v>
      </c>
      <c r="U67" s="81">
        <v>10094.1</v>
      </c>
      <c r="V67" s="81" t="s">
        <v>66</v>
      </c>
      <c r="W67" s="81">
        <v>4000000</v>
      </c>
      <c r="X67" s="81">
        <v>1.2395</v>
      </c>
      <c r="Y67" s="81">
        <v>1.2423999999999999</v>
      </c>
      <c r="Z67" s="81" t="s">
        <v>454</v>
      </c>
    </row>
    <row r="68" spans="1:26" ht="16.5">
      <c r="A68" s="81" t="s">
        <v>432</v>
      </c>
      <c r="B68" s="82">
        <v>43378</v>
      </c>
      <c r="C68" s="81" t="s">
        <v>10</v>
      </c>
      <c r="D68" s="82">
        <v>44109</v>
      </c>
      <c r="E68" s="81" t="s">
        <v>40</v>
      </c>
      <c r="F68" s="81" t="s">
        <v>827</v>
      </c>
      <c r="G68" s="83">
        <v>11320000</v>
      </c>
      <c r="H68" s="83">
        <v>11320000</v>
      </c>
      <c r="I68" s="81" t="s">
        <v>33</v>
      </c>
      <c r="J68" s="81">
        <v>3</v>
      </c>
      <c r="K68" s="81">
        <v>2.0499999999999998</v>
      </c>
      <c r="L68" s="81" t="s">
        <v>34</v>
      </c>
      <c r="M68" s="81" t="s">
        <v>34</v>
      </c>
      <c r="N68" s="81" t="s">
        <v>35</v>
      </c>
      <c r="O68" s="81" t="s">
        <v>36</v>
      </c>
      <c r="P68" s="81" t="s">
        <v>37</v>
      </c>
      <c r="Q68" s="81" t="s">
        <v>38</v>
      </c>
      <c r="R68" s="81" t="s">
        <v>39</v>
      </c>
      <c r="S68" s="81">
        <v>1.17</v>
      </c>
      <c r="T68" s="81">
        <v>10126.69</v>
      </c>
      <c r="U68" s="81">
        <v>10096.06</v>
      </c>
      <c r="V68" s="81" t="s">
        <v>66</v>
      </c>
      <c r="W68" s="81">
        <v>4000000</v>
      </c>
      <c r="X68" s="81">
        <v>1.0849</v>
      </c>
      <c r="Y68" s="81">
        <v>1.0887</v>
      </c>
      <c r="Z68" s="81" t="s">
        <v>433</v>
      </c>
    </row>
    <row r="69" spans="1:26" ht="16.5">
      <c r="A69" s="81" t="s">
        <v>377</v>
      </c>
      <c r="B69" s="82">
        <v>43314</v>
      </c>
      <c r="C69" s="81" t="s">
        <v>4</v>
      </c>
      <c r="D69" s="82">
        <v>44045</v>
      </c>
      <c r="E69" s="81" t="s">
        <v>13</v>
      </c>
      <c r="F69" s="81" t="s">
        <v>828</v>
      </c>
      <c r="G69" s="83">
        <v>10690000</v>
      </c>
      <c r="H69" s="83">
        <v>10690000</v>
      </c>
      <c r="I69" s="81" t="s">
        <v>33</v>
      </c>
      <c r="J69" s="81">
        <v>3</v>
      </c>
      <c r="K69" s="81">
        <v>2.06</v>
      </c>
      <c r="L69" s="81" t="s">
        <v>34</v>
      </c>
      <c r="M69" s="81" t="s">
        <v>34</v>
      </c>
      <c r="N69" s="81" t="s">
        <v>35</v>
      </c>
      <c r="O69" s="81" t="s">
        <v>36</v>
      </c>
      <c r="P69" s="81" t="s">
        <v>37</v>
      </c>
      <c r="Q69" s="81" t="s">
        <v>38</v>
      </c>
      <c r="R69" s="81" t="s">
        <v>39</v>
      </c>
      <c r="S69" s="81">
        <v>1.169</v>
      </c>
      <c r="T69" s="81">
        <v>10097.08</v>
      </c>
      <c r="U69" s="81">
        <v>10081.879999999999</v>
      </c>
      <c r="V69" s="81" t="s">
        <v>66</v>
      </c>
      <c r="W69" s="81">
        <v>4000000</v>
      </c>
      <c r="X69" s="81">
        <v>0.91649999999999998</v>
      </c>
      <c r="Y69" s="81">
        <v>0.91859999999999997</v>
      </c>
      <c r="Z69" s="81" t="s">
        <v>378</v>
      </c>
    </row>
    <row r="70" spans="1:26" ht="16.5">
      <c r="A70" s="81" t="s">
        <v>531</v>
      </c>
      <c r="B70" s="82">
        <v>43655</v>
      </c>
      <c r="C70" s="81" t="s">
        <v>6</v>
      </c>
      <c r="D70" s="82">
        <v>44021</v>
      </c>
      <c r="E70" s="81" t="s">
        <v>4</v>
      </c>
      <c r="F70" s="81" t="s">
        <v>829</v>
      </c>
      <c r="G70" s="83">
        <v>4550000</v>
      </c>
      <c r="H70" s="83">
        <v>4550000</v>
      </c>
      <c r="I70" s="81" t="s">
        <v>33</v>
      </c>
      <c r="J70" s="81">
        <v>3</v>
      </c>
      <c r="K70" s="81">
        <v>1.48</v>
      </c>
      <c r="L70" s="81" t="s">
        <v>34</v>
      </c>
      <c r="M70" s="81" t="s">
        <v>34</v>
      </c>
      <c r="N70" s="81" t="s">
        <v>35</v>
      </c>
      <c r="O70" s="81" t="s">
        <v>36</v>
      </c>
      <c r="P70" s="81" t="s">
        <v>37</v>
      </c>
      <c r="Q70" s="81" t="s">
        <v>38</v>
      </c>
      <c r="R70" s="81" t="s">
        <v>39</v>
      </c>
      <c r="S70" s="81">
        <v>1.1639999999999999</v>
      </c>
      <c r="T70" s="81">
        <v>10047.469999999999</v>
      </c>
      <c r="U70" s="81">
        <v>10026.93</v>
      </c>
      <c r="V70" s="81" t="s">
        <v>66</v>
      </c>
      <c r="W70" s="81">
        <v>4000000</v>
      </c>
      <c r="X70" s="81">
        <v>0.85360000000000003</v>
      </c>
      <c r="Y70" s="81">
        <v>0.85509999999999997</v>
      </c>
      <c r="Z70" s="81" t="s">
        <v>532</v>
      </c>
    </row>
    <row r="71" spans="1:26" ht="16.5">
      <c r="A71" s="81" t="s">
        <v>364</v>
      </c>
      <c r="B71" s="82">
        <v>43253</v>
      </c>
      <c r="C71" s="81" t="s">
        <v>11</v>
      </c>
      <c r="D71" s="82">
        <v>43984</v>
      </c>
      <c r="E71" s="81" t="s">
        <v>6</v>
      </c>
      <c r="F71" s="81" t="s">
        <v>830</v>
      </c>
      <c r="G71" s="83">
        <v>12020000</v>
      </c>
      <c r="H71" s="83">
        <v>12020000</v>
      </c>
      <c r="I71" s="81" t="s">
        <v>33</v>
      </c>
      <c r="J71" s="81">
        <v>3</v>
      </c>
      <c r="K71" s="81">
        <v>2.14</v>
      </c>
      <c r="L71" s="81" t="s">
        <v>34</v>
      </c>
      <c r="M71" s="81" t="s">
        <v>34</v>
      </c>
      <c r="N71" s="81" t="s">
        <v>35</v>
      </c>
      <c r="O71" s="81" t="s">
        <v>36</v>
      </c>
      <c r="P71" s="81" t="s">
        <v>37</v>
      </c>
      <c r="Q71" s="81" t="s">
        <v>38</v>
      </c>
      <c r="R71" s="81" t="s">
        <v>39</v>
      </c>
      <c r="S71" s="81">
        <v>1.1459999999999999</v>
      </c>
      <c r="T71" s="81">
        <v>10126.33</v>
      </c>
      <c r="U71" s="81">
        <v>10075.11</v>
      </c>
      <c r="V71" s="81" t="s">
        <v>66</v>
      </c>
      <c r="W71" s="81">
        <v>4000000</v>
      </c>
      <c r="X71" s="81">
        <v>0.75080000000000002</v>
      </c>
      <c r="Y71" s="81">
        <v>0.75160000000000005</v>
      </c>
      <c r="Z71" s="81" t="s">
        <v>365</v>
      </c>
    </row>
    <row r="72" spans="1:26" ht="16.5">
      <c r="A72" s="81" t="s">
        <v>487</v>
      </c>
      <c r="B72" s="82">
        <v>43594</v>
      </c>
      <c r="C72" s="81" t="s">
        <v>4</v>
      </c>
      <c r="D72" s="82">
        <v>43960</v>
      </c>
      <c r="E72" s="81" t="s">
        <v>11</v>
      </c>
      <c r="F72" s="81" t="s">
        <v>831</v>
      </c>
      <c r="G72" s="83">
        <v>5100000</v>
      </c>
      <c r="H72" s="83">
        <v>5100000</v>
      </c>
      <c r="I72" s="81" t="s">
        <v>33</v>
      </c>
      <c r="J72" s="81">
        <v>3</v>
      </c>
      <c r="K72" s="81">
        <v>1.7150000000000001</v>
      </c>
      <c r="L72" s="81" t="s">
        <v>34</v>
      </c>
      <c r="M72" s="81" t="s">
        <v>34</v>
      </c>
      <c r="N72" s="81" t="s">
        <v>35</v>
      </c>
      <c r="O72" s="81" t="s">
        <v>36</v>
      </c>
      <c r="P72" s="81" t="s">
        <v>37</v>
      </c>
      <c r="Q72" s="81" t="s">
        <v>38</v>
      </c>
      <c r="R72" s="81" t="s">
        <v>39</v>
      </c>
      <c r="S72" s="81">
        <v>1.171</v>
      </c>
      <c r="T72" s="81">
        <v>10046.879999999999</v>
      </c>
      <c r="U72" s="81">
        <v>10037.68</v>
      </c>
      <c r="V72" s="81" t="s">
        <v>66</v>
      </c>
      <c r="W72" s="81">
        <v>4000000</v>
      </c>
      <c r="X72" s="81">
        <v>0.6905</v>
      </c>
      <c r="Y72" s="81">
        <v>0.69079999999999997</v>
      </c>
      <c r="Z72" s="81" t="s">
        <v>488</v>
      </c>
    </row>
    <row r="73" spans="1:26" ht="16.5">
      <c r="A73" s="81" t="s">
        <v>352</v>
      </c>
      <c r="B73" s="82">
        <v>43192</v>
      </c>
      <c r="C73" s="81" t="s">
        <v>40</v>
      </c>
      <c r="D73" s="82">
        <v>43923</v>
      </c>
      <c r="E73" s="81" t="s">
        <v>4</v>
      </c>
      <c r="F73" s="81" t="s">
        <v>832</v>
      </c>
      <c r="G73" s="83">
        <v>13240000</v>
      </c>
      <c r="H73" s="83">
        <v>11590000</v>
      </c>
      <c r="I73" s="81" t="s">
        <v>33</v>
      </c>
      <c r="J73" s="81">
        <v>3</v>
      </c>
      <c r="K73" s="81">
        <v>2.12</v>
      </c>
      <c r="L73" s="81" t="s">
        <v>34</v>
      </c>
      <c r="M73" s="81" t="s">
        <v>34</v>
      </c>
      <c r="N73" s="81" t="s">
        <v>35</v>
      </c>
      <c r="O73" s="81" t="s">
        <v>36</v>
      </c>
      <c r="P73" s="81" t="s">
        <v>37</v>
      </c>
      <c r="Q73" s="81" t="s">
        <v>38</v>
      </c>
      <c r="R73" s="81" t="s">
        <v>39</v>
      </c>
      <c r="S73" s="81">
        <v>1.1659999999999999</v>
      </c>
      <c r="T73" s="81">
        <v>10089.59</v>
      </c>
      <c r="U73" s="81">
        <v>10056.15</v>
      </c>
      <c r="V73" s="81" t="s">
        <v>66</v>
      </c>
      <c r="W73" s="81">
        <v>4000000</v>
      </c>
      <c r="X73" s="81">
        <v>0.58689999999999998</v>
      </c>
      <c r="Y73" s="81">
        <v>0.58889999999999998</v>
      </c>
      <c r="Z73" s="81" t="s">
        <v>353</v>
      </c>
    </row>
    <row r="74" spans="1:26" ht="16.5">
      <c r="A74" s="81" t="s">
        <v>469</v>
      </c>
      <c r="B74" s="82">
        <v>43533</v>
      </c>
      <c r="C74" s="81" t="s">
        <v>11</v>
      </c>
      <c r="D74" s="82">
        <v>43899</v>
      </c>
      <c r="E74" s="81" t="s">
        <v>40</v>
      </c>
      <c r="F74" s="81" t="s">
        <v>833</v>
      </c>
      <c r="G74" s="83">
        <v>5850000</v>
      </c>
      <c r="H74" s="83">
        <v>5850000</v>
      </c>
      <c r="I74" s="81" t="s">
        <v>33</v>
      </c>
      <c r="J74" s="81">
        <v>3</v>
      </c>
      <c r="K74" s="81">
        <v>1.83</v>
      </c>
      <c r="L74" s="81" t="s">
        <v>34</v>
      </c>
      <c r="M74" s="81" t="s">
        <v>34</v>
      </c>
      <c r="N74" s="81" t="s">
        <v>35</v>
      </c>
      <c r="O74" s="81" t="s">
        <v>36</v>
      </c>
      <c r="P74" s="81" t="s">
        <v>37</v>
      </c>
      <c r="Q74" s="81" t="s">
        <v>38</v>
      </c>
      <c r="R74" s="81" t="s">
        <v>39</v>
      </c>
      <c r="S74" s="81">
        <v>1.1890000000000001</v>
      </c>
      <c r="T74" s="81">
        <v>10074.07</v>
      </c>
      <c r="U74" s="81">
        <v>10034.17</v>
      </c>
      <c r="V74" s="81" t="s">
        <v>66</v>
      </c>
      <c r="W74" s="81">
        <v>4000000</v>
      </c>
      <c r="X74" s="81">
        <v>0.52500000000000002</v>
      </c>
      <c r="Y74" s="81">
        <v>0.52390000000000003</v>
      </c>
      <c r="Z74" s="81" t="s">
        <v>470</v>
      </c>
    </row>
    <row r="75" spans="1:26" ht="16.5">
      <c r="A75" s="81" t="s">
        <v>581</v>
      </c>
      <c r="B75" s="82">
        <v>43697</v>
      </c>
      <c r="C75" s="81" t="s">
        <v>6</v>
      </c>
      <c r="D75" s="82">
        <v>43879</v>
      </c>
      <c r="E75" s="81" t="s">
        <v>6</v>
      </c>
      <c r="F75" s="81" t="s">
        <v>834</v>
      </c>
      <c r="G75" s="83">
        <v>300000</v>
      </c>
      <c r="H75" s="83">
        <v>300000</v>
      </c>
      <c r="I75" s="81" t="s">
        <v>8</v>
      </c>
      <c r="J75" s="81">
        <v>12</v>
      </c>
      <c r="K75" s="81">
        <v>1.1830000000000001</v>
      </c>
      <c r="L75" s="81" t="s">
        <v>34</v>
      </c>
      <c r="M75" s="81" t="s">
        <v>34</v>
      </c>
      <c r="N75" s="81" t="s">
        <v>35</v>
      </c>
      <c r="O75" s="81" t="s">
        <v>36</v>
      </c>
      <c r="P75" s="81" t="s">
        <v>37</v>
      </c>
      <c r="Q75" s="81" t="s">
        <v>38</v>
      </c>
      <c r="R75" s="81" t="s">
        <v>39</v>
      </c>
      <c r="S75" s="81">
        <v>1.1910000000000001</v>
      </c>
      <c r="T75" s="81">
        <v>9943.83</v>
      </c>
      <c r="U75" s="81">
        <v>9944.14</v>
      </c>
      <c r="V75" s="81" t="s">
        <v>66</v>
      </c>
      <c r="W75" s="81">
        <v>4000000</v>
      </c>
      <c r="X75" s="81">
        <v>0.4713</v>
      </c>
      <c r="Y75" s="81">
        <v>0.47260000000000002</v>
      </c>
      <c r="Z75" s="81" t="s">
        <v>582</v>
      </c>
    </row>
    <row r="76" spans="1:26" ht="16.5">
      <c r="A76" s="81" t="s">
        <v>555</v>
      </c>
      <c r="B76" s="82">
        <v>43683</v>
      </c>
      <c r="C76" s="81" t="s">
        <v>6</v>
      </c>
      <c r="D76" s="82">
        <v>43865</v>
      </c>
      <c r="E76" s="81" t="s">
        <v>6</v>
      </c>
      <c r="F76" s="81" t="s">
        <v>659</v>
      </c>
      <c r="G76" s="83">
        <v>300000</v>
      </c>
      <c r="H76" s="83">
        <v>300000</v>
      </c>
      <c r="I76" s="81" t="s">
        <v>8</v>
      </c>
      <c r="J76" s="81">
        <v>12</v>
      </c>
      <c r="K76" s="81">
        <v>1.2909999999999999</v>
      </c>
      <c r="L76" s="81" t="s">
        <v>34</v>
      </c>
      <c r="M76" s="81" t="s">
        <v>34</v>
      </c>
      <c r="N76" s="81" t="s">
        <v>35</v>
      </c>
      <c r="O76" s="81" t="s">
        <v>36</v>
      </c>
      <c r="P76" s="81" t="s">
        <v>37</v>
      </c>
      <c r="Q76" s="81" t="s">
        <v>38</v>
      </c>
      <c r="R76" s="81" t="s">
        <v>39</v>
      </c>
      <c r="S76" s="81">
        <v>1.208</v>
      </c>
      <c r="T76" s="81">
        <v>9947.6299999999992</v>
      </c>
      <c r="U76" s="81">
        <v>9947.7800000000007</v>
      </c>
      <c r="V76" s="81" t="s">
        <v>66</v>
      </c>
      <c r="W76" s="81">
        <v>4000000</v>
      </c>
      <c r="X76" s="81">
        <v>0.43330000000000002</v>
      </c>
      <c r="Y76" s="81">
        <v>0.43440000000000001</v>
      </c>
      <c r="Z76" s="81" t="s">
        <v>556</v>
      </c>
    </row>
    <row r="77" spans="1:26" ht="16.5">
      <c r="A77" s="81" t="s">
        <v>342</v>
      </c>
      <c r="B77" s="82">
        <v>43133</v>
      </c>
      <c r="C77" s="81" t="s">
        <v>10</v>
      </c>
      <c r="D77" s="82">
        <v>43863</v>
      </c>
      <c r="E77" s="81" t="s">
        <v>13</v>
      </c>
      <c r="F77" s="81" t="s">
        <v>835</v>
      </c>
      <c r="G77" s="83">
        <v>12110000</v>
      </c>
      <c r="H77" s="83">
        <v>9460000</v>
      </c>
      <c r="I77" s="81" t="s">
        <v>33</v>
      </c>
      <c r="J77" s="81">
        <v>3</v>
      </c>
      <c r="K77" s="81">
        <v>2.16</v>
      </c>
      <c r="L77" s="81" t="s">
        <v>34</v>
      </c>
      <c r="M77" s="81" t="s">
        <v>34</v>
      </c>
      <c r="N77" s="81" t="s">
        <v>35</v>
      </c>
      <c r="O77" s="81" t="s">
        <v>36</v>
      </c>
      <c r="P77" s="81" t="s">
        <v>37</v>
      </c>
      <c r="Q77" s="81" t="s">
        <v>38</v>
      </c>
      <c r="R77" s="81" t="s">
        <v>39</v>
      </c>
      <c r="S77" s="81">
        <v>1.1930000000000001</v>
      </c>
      <c r="T77" s="81">
        <v>10056.89</v>
      </c>
      <c r="U77" s="81">
        <v>10041.19</v>
      </c>
      <c r="V77" s="81" t="s">
        <v>66</v>
      </c>
      <c r="W77" s="81">
        <v>4000000</v>
      </c>
      <c r="X77" s="81">
        <v>0.42409999999999998</v>
      </c>
      <c r="Y77" s="81">
        <v>0.42759999999999998</v>
      </c>
      <c r="Z77" s="81" t="s">
        <v>343</v>
      </c>
    </row>
    <row r="78" spans="1:26" ht="16.5">
      <c r="A78" s="81" t="s">
        <v>540</v>
      </c>
      <c r="B78" s="82">
        <v>43662</v>
      </c>
      <c r="C78" s="81" t="s">
        <v>6</v>
      </c>
      <c r="D78" s="82">
        <v>43844</v>
      </c>
      <c r="E78" s="81" t="s">
        <v>6</v>
      </c>
      <c r="F78" s="81" t="s">
        <v>836</v>
      </c>
      <c r="G78" s="83">
        <v>300000</v>
      </c>
      <c r="H78" s="83">
        <v>300000</v>
      </c>
      <c r="I78" s="81" t="s">
        <v>8</v>
      </c>
      <c r="J78" s="81">
        <v>12</v>
      </c>
      <c r="K78" s="81">
        <v>1.46</v>
      </c>
      <c r="L78" s="81" t="s">
        <v>34</v>
      </c>
      <c r="M78" s="81" t="s">
        <v>34</v>
      </c>
      <c r="N78" s="81" t="s">
        <v>35</v>
      </c>
      <c r="O78" s="81" t="s">
        <v>36</v>
      </c>
      <c r="P78" s="81" t="s">
        <v>37</v>
      </c>
      <c r="Q78" s="81" t="s">
        <v>38</v>
      </c>
      <c r="R78" s="81" t="s">
        <v>39</v>
      </c>
      <c r="S78" s="81">
        <v>1.216</v>
      </c>
      <c r="T78" s="81">
        <v>9954.2000000000007</v>
      </c>
      <c r="U78" s="81">
        <v>9954.27</v>
      </c>
      <c r="V78" s="81" t="s">
        <v>66</v>
      </c>
      <c r="W78" s="81">
        <v>4000000</v>
      </c>
      <c r="X78" s="81">
        <v>0.37630000000000002</v>
      </c>
      <c r="Y78" s="81">
        <v>0.377</v>
      </c>
      <c r="Z78" s="81" t="s">
        <v>541</v>
      </c>
    </row>
    <row r="79" spans="1:26" ht="16.5">
      <c r="A79" s="81" t="s">
        <v>460</v>
      </c>
      <c r="B79" s="82">
        <v>43474</v>
      </c>
      <c r="C79" s="81" t="s">
        <v>5</v>
      </c>
      <c r="D79" s="82">
        <v>43839</v>
      </c>
      <c r="E79" s="81" t="s">
        <v>4</v>
      </c>
      <c r="F79" s="81" t="s">
        <v>837</v>
      </c>
      <c r="G79" s="83">
        <v>5180000</v>
      </c>
      <c r="H79" s="83">
        <v>5180000</v>
      </c>
      <c r="I79" s="81" t="s">
        <v>33</v>
      </c>
      <c r="J79" s="81">
        <v>3</v>
      </c>
      <c r="K79" s="81">
        <v>1.82</v>
      </c>
      <c r="L79" s="81" t="s">
        <v>34</v>
      </c>
      <c r="M79" s="81" t="s">
        <v>34</v>
      </c>
      <c r="N79" s="81" t="s">
        <v>35</v>
      </c>
      <c r="O79" s="81" t="s">
        <v>36</v>
      </c>
      <c r="P79" s="81" t="s">
        <v>37</v>
      </c>
      <c r="Q79" s="81" t="s">
        <v>38</v>
      </c>
      <c r="R79" s="81" t="s">
        <v>39</v>
      </c>
      <c r="S79" s="81">
        <v>1.2230000000000001</v>
      </c>
      <c r="T79" s="81">
        <v>10046.68</v>
      </c>
      <c r="U79" s="81">
        <v>10021.5</v>
      </c>
      <c r="V79" s="81" t="s">
        <v>66</v>
      </c>
      <c r="W79" s="81">
        <v>4000000</v>
      </c>
      <c r="X79" s="81">
        <v>0.35930000000000001</v>
      </c>
      <c r="Y79" s="81">
        <v>0.36220000000000002</v>
      </c>
      <c r="Z79" s="81" t="s">
        <v>461</v>
      </c>
    </row>
    <row r="80" spans="1:26" ht="16.5">
      <c r="A80" s="81" t="s">
        <v>525</v>
      </c>
      <c r="B80" s="82">
        <v>43648</v>
      </c>
      <c r="C80" s="81" t="s">
        <v>6</v>
      </c>
      <c r="D80" s="82">
        <v>43830</v>
      </c>
      <c r="E80" s="81" t="s">
        <v>6</v>
      </c>
      <c r="F80" s="81" t="s">
        <v>838</v>
      </c>
      <c r="G80" s="83">
        <v>300000</v>
      </c>
      <c r="H80" s="83">
        <v>300000</v>
      </c>
      <c r="I80" s="81" t="s">
        <v>8</v>
      </c>
      <c r="J80" s="81">
        <v>12</v>
      </c>
      <c r="K80" s="81">
        <v>1.528</v>
      </c>
      <c r="L80" s="81" t="s">
        <v>34</v>
      </c>
      <c r="M80" s="81" t="s">
        <v>34</v>
      </c>
      <c r="N80" s="81" t="s">
        <v>35</v>
      </c>
      <c r="O80" s="81" t="s">
        <v>36</v>
      </c>
      <c r="P80" s="81" t="s">
        <v>37</v>
      </c>
      <c r="Q80" s="81" t="s">
        <v>38</v>
      </c>
      <c r="R80" s="81" t="s">
        <v>39</v>
      </c>
      <c r="S80" s="81">
        <v>1.2310000000000001</v>
      </c>
      <c r="T80" s="81">
        <v>9958.32</v>
      </c>
      <c r="U80" s="81">
        <v>9958.3799999999992</v>
      </c>
      <c r="V80" s="81" t="s">
        <v>66</v>
      </c>
      <c r="W80" s="81">
        <v>4000000</v>
      </c>
      <c r="X80" s="81">
        <v>0.33829999999999999</v>
      </c>
      <c r="Y80" s="81">
        <v>0.3387</v>
      </c>
      <c r="Z80" s="81" t="s">
        <v>526</v>
      </c>
    </row>
    <row r="81" spans="1:26" ht="16.5">
      <c r="A81" s="81" t="s">
        <v>515</v>
      </c>
      <c r="B81" s="82">
        <v>43634</v>
      </c>
      <c r="C81" s="81" t="s">
        <v>6</v>
      </c>
      <c r="D81" s="82">
        <v>43816</v>
      </c>
      <c r="E81" s="81" t="s">
        <v>6</v>
      </c>
      <c r="F81" s="81" t="s">
        <v>839</v>
      </c>
      <c r="G81" s="83">
        <v>300000</v>
      </c>
      <c r="H81" s="83">
        <v>300000</v>
      </c>
      <c r="I81" s="81" t="s">
        <v>8</v>
      </c>
      <c r="J81" s="81">
        <v>12</v>
      </c>
      <c r="K81" s="81">
        <v>1.528</v>
      </c>
      <c r="L81" s="81" t="s">
        <v>34</v>
      </c>
      <c r="M81" s="81" t="s">
        <v>34</v>
      </c>
      <c r="N81" s="81" t="s">
        <v>35</v>
      </c>
      <c r="O81" s="81" t="s">
        <v>36</v>
      </c>
      <c r="P81" s="81" t="s">
        <v>37</v>
      </c>
      <c r="Q81" s="81" t="s">
        <v>38</v>
      </c>
      <c r="R81" s="81" t="s">
        <v>39</v>
      </c>
      <c r="S81" s="81">
        <v>1.236</v>
      </c>
      <c r="T81" s="81">
        <v>9962.8700000000008</v>
      </c>
      <c r="U81" s="81">
        <v>9963</v>
      </c>
      <c r="V81" s="81" t="s">
        <v>66</v>
      </c>
      <c r="W81" s="81">
        <v>4000000</v>
      </c>
      <c r="X81" s="81">
        <v>0.30020000000000002</v>
      </c>
      <c r="Y81" s="81">
        <v>0.30049999999999999</v>
      </c>
      <c r="Z81" s="81" t="s">
        <v>516</v>
      </c>
    </row>
    <row r="82" spans="1:26" ht="16.5">
      <c r="A82" s="81" t="s">
        <v>497</v>
      </c>
      <c r="B82" s="82">
        <v>43620</v>
      </c>
      <c r="C82" s="81" t="s">
        <v>6</v>
      </c>
      <c r="D82" s="82">
        <v>43802</v>
      </c>
      <c r="E82" s="81" t="s">
        <v>6</v>
      </c>
      <c r="F82" s="81" t="s">
        <v>749</v>
      </c>
      <c r="G82" s="83">
        <v>300000</v>
      </c>
      <c r="H82" s="83">
        <v>300000</v>
      </c>
      <c r="I82" s="81" t="s">
        <v>8</v>
      </c>
      <c r="J82" s="81">
        <v>12</v>
      </c>
      <c r="K82" s="81">
        <v>1.607</v>
      </c>
      <c r="L82" s="81" t="s">
        <v>34</v>
      </c>
      <c r="M82" s="81" t="s">
        <v>34</v>
      </c>
      <c r="N82" s="81" t="s">
        <v>35</v>
      </c>
      <c r="O82" s="81" t="s">
        <v>36</v>
      </c>
      <c r="P82" s="81" t="s">
        <v>37</v>
      </c>
      <c r="Q82" s="81" t="s">
        <v>38</v>
      </c>
      <c r="R82" s="81" t="s">
        <v>39</v>
      </c>
      <c r="S82" s="81">
        <v>1.24</v>
      </c>
      <c r="T82" s="81">
        <v>9967.4699999999993</v>
      </c>
      <c r="U82" s="81">
        <v>9967.6200000000008</v>
      </c>
      <c r="V82" s="81" t="s">
        <v>66</v>
      </c>
      <c r="W82" s="81">
        <v>4000000</v>
      </c>
      <c r="X82" s="81">
        <v>0.2621</v>
      </c>
      <c r="Y82" s="81">
        <v>0.26219999999999999</v>
      </c>
      <c r="Z82" s="81" t="s">
        <v>498</v>
      </c>
    </row>
    <row r="83" spans="1:26" ht="16.5">
      <c r="A83" s="81" t="s">
        <v>332</v>
      </c>
      <c r="B83" s="82">
        <v>43071</v>
      </c>
      <c r="C83" s="81" t="s">
        <v>11</v>
      </c>
      <c r="D83" s="82">
        <v>43801</v>
      </c>
      <c r="E83" s="81" t="s">
        <v>40</v>
      </c>
      <c r="F83" s="81" t="s">
        <v>840</v>
      </c>
      <c r="G83" s="83">
        <v>12440000</v>
      </c>
      <c r="H83" s="83">
        <v>10330000</v>
      </c>
      <c r="I83" s="81" t="s">
        <v>33</v>
      </c>
      <c r="J83" s="81">
        <v>3</v>
      </c>
      <c r="K83" s="81">
        <v>2.06</v>
      </c>
      <c r="L83" s="81" t="s">
        <v>34</v>
      </c>
      <c r="M83" s="81" t="s">
        <v>34</v>
      </c>
      <c r="N83" s="81" t="s">
        <v>35</v>
      </c>
      <c r="O83" s="81" t="s">
        <v>36</v>
      </c>
      <c r="P83" s="81" t="s">
        <v>37</v>
      </c>
      <c r="Q83" s="81" t="s">
        <v>38</v>
      </c>
      <c r="R83" s="81" t="s">
        <v>39</v>
      </c>
      <c r="S83" s="81">
        <v>1.242</v>
      </c>
      <c r="T83" s="81">
        <v>10070.51</v>
      </c>
      <c r="U83" s="81">
        <v>10021.44</v>
      </c>
      <c r="V83" s="81" t="s">
        <v>66</v>
      </c>
      <c r="W83" s="81">
        <v>4000000</v>
      </c>
      <c r="X83" s="81">
        <v>0.25879999999999997</v>
      </c>
      <c r="Y83" s="81">
        <v>0.25819999999999999</v>
      </c>
      <c r="Z83" s="81" t="s">
        <v>333</v>
      </c>
    </row>
    <row r="84" spans="1:26" ht="16.5">
      <c r="A84" s="81" t="s">
        <v>661</v>
      </c>
      <c r="B84" s="82">
        <v>43704</v>
      </c>
      <c r="C84" s="81" t="s">
        <v>6</v>
      </c>
      <c r="D84" s="82">
        <v>43795</v>
      </c>
      <c r="E84" s="81" t="s">
        <v>6</v>
      </c>
      <c r="F84" s="81" t="s">
        <v>841</v>
      </c>
      <c r="G84" s="83">
        <v>800000</v>
      </c>
      <c r="H84" s="83">
        <v>800000</v>
      </c>
      <c r="I84" s="81" t="s">
        <v>8</v>
      </c>
      <c r="J84" s="81">
        <v>12</v>
      </c>
      <c r="K84" s="81">
        <v>1.266</v>
      </c>
      <c r="L84" s="81" t="s">
        <v>34</v>
      </c>
      <c r="M84" s="81" t="s">
        <v>34</v>
      </c>
      <c r="N84" s="81" t="s">
        <v>35</v>
      </c>
      <c r="O84" s="81" t="s">
        <v>36</v>
      </c>
      <c r="P84" s="81" t="s">
        <v>37</v>
      </c>
      <c r="Q84" s="81" t="s">
        <v>38</v>
      </c>
      <c r="R84" s="81" t="s">
        <v>39</v>
      </c>
      <c r="S84" s="81">
        <v>1.272</v>
      </c>
      <c r="T84" s="81">
        <v>9969.06</v>
      </c>
      <c r="U84" s="81">
        <v>9969.08</v>
      </c>
      <c r="V84" s="81" t="s">
        <v>66</v>
      </c>
      <c r="W84" s="81">
        <v>4000000</v>
      </c>
      <c r="X84" s="81">
        <v>0.24299999999999999</v>
      </c>
      <c r="Y84" s="81">
        <v>0.24310000000000001</v>
      </c>
      <c r="Z84" s="81" t="s">
        <v>662</v>
      </c>
    </row>
    <row r="85" spans="1:26" ht="16.5">
      <c r="A85" s="81" t="s">
        <v>489</v>
      </c>
      <c r="B85" s="82">
        <v>43606</v>
      </c>
      <c r="C85" s="81" t="s">
        <v>6</v>
      </c>
      <c r="D85" s="82">
        <v>43788</v>
      </c>
      <c r="E85" s="81" t="s">
        <v>6</v>
      </c>
      <c r="F85" s="81" t="s">
        <v>842</v>
      </c>
      <c r="G85" s="83">
        <v>300000</v>
      </c>
      <c r="H85" s="83">
        <v>300000</v>
      </c>
      <c r="I85" s="81" t="s">
        <v>8</v>
      </c>
      <c r="J85" s="81">
        <v>12</v>
      </c>
      <c r="K85" s="81">
        <v>1.637</v>
      </c>
      <c r="L85" s="81" t="s">
        <v>34</v>
      </c>
      <c r="M85" s="81" t="s">
        <v>34</v>
      </c>
      <c r="N85" s="81" t="s">
        <v>35</v>
      </c>
      <c r="O85" s="81" t="s">
        <v>36</v>
      </c>
      <c r="P85" s="81" t="s">
        <v>37</v>
      </c>
      <c r="Q85" s="81" t="s">
        <v>38</v>
      </c>
      <c r="R85" s="81" t="s">
        <v>39</v>
      </c>
      <c r="S85" s="81">
        <v>1.258</v>
      </c>
      <c r="T85" s="81">
        <v>9971.7999999999993</v>
      </c>
      <c r="U85" s="81">
        <v>9971.8799999999992</v>
      </c>
      <c r="V85" s="81" t="s">
        <v>66</v>
      </c>
      <c r="W85" s="81">
        <v>4000000</v>
      </c>
      <c r="X85" s="81">
        <v>0.224</v>
      </c>
      <c r="Y85" s="81">
        <v>0.224</v>
      </c>
      <c r="Z85" s="81" t="s">
        <v>490</v>
      </c>
    </row>
    <row r="86" spans="1:26" ht="16.5">
      <c r="A86" s="81" t="s">
        <v>583</v>
      </c>
      <c r="B86" s="82">
        <v>43697</v>
      </c>
      <c r="C86" s="81" t="s">
        <v>6</v>
      </c>
      <c r="D86" s="82">
        <v>43788</v>
      </c>
      <c r="E86" s="81" t="s">
        <v>6</v>
      </c>
      <c r="F86" s="81" t="s">
        <v>842</v>
      </c>
      <c r="G86" s="83">
        <v>900000</v>
      </c>
      <c r="H86" s="83">
        <v>900000</v>
      </c>
      <c r="I86" s="81" t="s">
        <v>8</v>
      </c>
      <c r="J86" s="81">
        <v>12</v>
      </c>
      <c r="K86" s="81">
        <v>1.266</v>
      </c>
      <c r="L86" s="81" t="s">
        <v>34</v>
      </c>
      <c r="M86" s="81" t="s">
        <v>34</v>
      </c>
      <c r="N86" s="81" t="s">
        <v>35</v>
      </c>
      <c r="O86" s="81" t="s">
        <v>36</v>
      </c>
      <c r="P86" s="81" t="s">
        <v>37</v>
      </c>
      <c r="Q86" s="81" t="s">
        <v>38</v>
      </c>
      <c r="R86" s="81" t="s">
        <v>39</v>
      </c>
      <c r="S86" s="81">
        <v>1.258</v>
      </c>
      <c r="T86" s="81">
        <v>9971.7999999999993</v>
      </c>
      <c r="U86" s="81">
        <v>9971.8799999999992</v>
      </c>
      <c r="V86" s="81" t="s">
        <v>66</v>
      </c>
      <c r="W86" s="81">
        <v>4000000</v>
      </c>
      <c r="X86" s="81">
        <v>0.224</v>
      </c>
      <c r="Y86" s="81">
        <v>0.224</v>
      </c>
      <c r="Z86" s="81" t="s">
        <v>584</v>
      </c>
    </row>
    <row r="87" spans="1:26" ht="16.5">
      <c r="A87" s="81" t="s">
        <v>576</v>
      </c>
      <c r="B87" s="82">
        <v>43690</v>
      </c>
      <c r="C87" s="81" t="s">
        <v>6</v>
      </c>
      <c r="D87" s="82">
        <v>43781</v>
      </c>
      <c r="E87" s="81" t="s">
        <v>6</v>
      </c>
      <c r="F87" s="81" t="s">
        <v>586</v>
      </c>
      <c r="G87" s="83">
        <v>900000</v>
      </c>
      <c r="H87" s="83">
        <v>900000</v>
      </c>
      <c r="I87" s="81" t="s">
        <v>8</v>
      </c>
      <c r="J87" s="81">
        <v>12</v>
      </c>
      <c r="K87" s="81">
        <v>1.2769999999999999</v>
      </c>
      <c r="L87" s="81" t="s">
        <v>34</v>
      </c>
      <c r="M87" s="81" t="s">
        <v>34</v>
      </c>
      <c r="N87" s="81" t="s">
        <v>35</v>
      </c>
      <c r="O87" s="81" t="s">
        <v>36</v>
      </c>
      <c r="P87" s="81" t="s">
        <v>37</v>
      </c>
      <c r="Q87" s="81" t="s">
        <v>38</v>
      </c>
      <c r="R87" s="81" t="s">
        <v>39</v>
      </c>
      <c r="S87" s="81">
        <v>1.2629999999999999</v>
      </c>
      <c r="T87" s="81">
        <v>9974.1</v>
      </c>
      <c r="U87" s="81">
        <v>9974.17</v>
      </c>
      <c r="V87" s="81" t="s">
        <v>66</v>
      </c>
      <c r="W87" s="81">
        <v>4000000</v>
      </c>
      <c r="X87" s="81">
        <v>0.2049</v>
      </c>
      <c r="Y87" s="81">
        <v>0.2049</v>
      </c>
      <c r="Z87" s="81" t="s">
        <v>577</v>
      </c>
    </row>
    <row r="88" spans="1:26" ht="16.5">
      <c r="A88" s="81" t="s">
        <v>451</v>
      </c>
      <c r="B88" s="82">
        <v>43413</v>
      </c>
      <c r="C88" s="81" t="s">
        <v>10</v>
      </c>
      <c r="D88" s="82">
        <v>43778</v>
      </c>
      <c r="E88" s="81" t="s">
        <v>11</v>
      </c>
      <c r="F88" s="81" t="s">
        <v>843</v>
      </c>
      <c r="G88" s="83">
        <v>4680000</v>
      </c>
      <c r="H88" s="83">
        <v>3960000</v>
      </c>
      <c r="I88" s="81" t="s">
        <v>33</v>
      </c>
      <c r="J88" s="81">
        <v>3</v>
      </c>
      <c r="K88" s="81">
        <v>1.87</v>
      </c>
      <c r="L88" s="81" t="s">
        <v>34</v>
      </c>
      <c r="M88" s="81" t="s">
        <v>34</v>
      </c>
      <c r="N88" s="81" t="s">
        <v>35</v>
      </c>
      <c r="O88" s="81" t="s">
        <v>36</v>
      </c>
      <c r="P88" s="81" t="s">
        <v>37</v>
      </c>
      <c r="Q88" s="81" t="s">
        <v>38</v>
      </c>
      <c r="R88" s="81" t="s">
        <v>39</v>
      </c>
      <c r="S88" s="81">
        <v>1.2629999999999999</v>
      </c>
      <c r="T88" s="81">
        <v>10021.969999999999</v>
      </c>
      <c r="U88" s="81">
        <v>10011.879999999999</v>
      </c>
      <c r="V88" s="81" t="s">
        <v>66</v>
      </c>
      <c r="W88" s="81">
        <v>4000000</v>
      </c>
      <c r="X88" s="81">
        <v>0.1951</v>
      </c>
      <c r="Y88" s="81">
        <v>0.19670000000000001</v>
      </c>
      <c r="Z88" s="81" t="s">
        <v>452</v>
      </c>
    </row>
    <row r="89" spans="1:26" ht="16.5">
      <c r="A89" s="81" t="s">
        <v>485</v>
      </c>
      <c r="B89" s="82">
        <v>43592</v>
      </c>
      <c r="C89" s="81" t="s">
        <v>6</v>
      </c>
      <c r="D89" s="82">
        <v>43774</v>
      </c>
      <c r="E89" s="81" t="s">
        <v>6</v>
      </c>
      <c r="F89" s="81" t="s">
        <v>844</v>
      </c>
      <c r="G89" s="83">
        <v>300000</v>
      </c>
      <c r="H89" s="83">
        <v>300000</v>
      </c>
      <c r="I89" s="81" t="s">
        <v>8</v>
      </c>
      <c r="J89" s="81">
        <v>12</v>
      </c>
      <c r="K89" s="81">
        <v>1.716</v>
      </c>
      <c r="L89" s="81" t="s">
        <v>34</v>
      </c>
      <c r="M89" s="81" t="s">
        <v>34</v>
      </c>
      <c r="N89" s="81" t="s">
        <v>35</v>
      </c>
      <c r="O89" s="81" t="s">
        <v>36</v>
      </c>
      <c r="P89" s="81" t="s">
        <v>37</v>
      </c>
      <c r="Q89" s="81" t="s">
        <v>38</v>
      </c>
      <c r="R89" s="81" t="s">
        <v>39</v>
      </c>
      <c r="S89" s="81">
        <v>1.2749999999999999</v>
      </c>
      <c r="T89" s="81">
        <v>9976.2999999999993</v>
      </c>
      <c r="U89" s="81">
        <v>9976.2099999999991</v>
      </c>
      <c r="V89" s="81" t="s">
        <v>66</v>
      </c>
      <c r="W89" s="81">
        <v>4000000</v>
      </c>
      <c r="X89" s="81">
        <v>0.18579999999999999</v>
      </c>
      <c r="Y89" s="81">
        <v>0.1857</v>
      </c>
      <c r="Z89" s="81" t="s">
        <v>486</v>
      </c>
    </row>
    <row r="90" spans="1:26" ht="16.5">
      <c r="A90" s="81" t="s">
        <v>557</v>
      </c>
      <c r="B90" s="82">
        <v>43683</v>
      </c>
      <c r="C90" s="81" t="s">
        <v>6</v>
      </c>
      <c r="D90" s="82">
        <v>43774</v>
      </c>
      <c r="E90" s="81" t="s">
        <v>6</v>
      </c>
      <c r="F90" s="81" t="s">
        <v>844</v>
      </c>
      <c r="G90" s="83">
        <v>900000</v>
      </c>
      <c r="H90" s="83">
        <v>900000</v>
      </c>
      <c r="I90" s="81" t="s">
        <v>8</v>
      </c>
      <c r="J90" s="81">
        <v>12</v>
      </c>
      <c r="K90" s="81">
        <v>1.3360000000000001</v>
      </c>
      <c r="L90" s="81" t="s">
        <v>34</v>
      </c>
      <c r="M90" s="81" t="s">
        <v>34</v>
      </c>
      <c r="N90" s="81" t="s">
        <v>35</v>
      </c>
      <c r="O90" s="81" t="s">
        <v>36</v>
      </c>
      <c r="P90" s="81" t="s">
        <v>37</v>
      </c>
      <c r="Q90" s="81" t="s">
        <v>38</v>
      </c>
      <c r="R90" s="81" t="s">
        <v>39</v>
      </c>
      <c r="S90" s="81">
        <v>1.2749999999999999</v>
      </c>
      <c r="T90" s="81">
        <v>9976.2999999999993</v>
      </c>
      <c r="U90" s="81">
        <v>9976.2099999999991</v>
      </c>
      <c r="V90" s="81" t="s">
        <v>66</v>
      </c>
      <c r="W90" s="81">
        <v>4000000</v>
      </c>
      <c r="X90" s="81">
        <v>0.18579999999999999</v>
      </c>
      <c r="Y90" s="81">
        <v>0.1857</v>
      </c>
      <c r="Z90" s="81" t="s">
        <v>558</v>
      </c>
    </row>
    <row r="91" spans="1:26" ht="16.5">
      <c r="A91" s="81" t="s">
        <v>549</v>
      </c>
      <c r="B91" s="82">
        <v>43676</v>
      </c>
      <c r="C91" s="81" t="s">
        <v>6</v>
      </c>
      <c r="D91" s="82">
        <v>43767</v>
      </c>
      <c r="E91" s="81" t="s">
        <v>6</v>
      </c>
      <c r="F91" s="81" t="s">
        <v>845</v>
      </c>
      <c r="G91" s="83">
        <v>700000</v>
      </c>
      <c r="H91" s="83">
        <v>700000</v>
      </c>
      <c r="I91" s="81" t="s">
        <v>8</v>
      </c>
      <c r="J91" s="81">
        <v>12</v>
      </c>
      <c r="K91" s="81">
        <v>1.415</v>
      </c>
      <c r="L91" s="81" t="s">
        <v>34</v>
      </c>
      <c r="M91" s="81" t="s">
        <v>34</v>
      </c>
      <c r="N91" s="81" t="s">
        <v>35</v>
      </c>
      <c r="O91" s="81" t="s">
        <v>36</v>
      </c>
      <c r="P91" s="81" t="s">
        <v>37</v>
      </c>
      <c r="Q91" s="81" t="s">
        <v>38</v>
      </c>
      <c r="R91" s="81" t="s">
        <v>39</v>
      </c>
      <c r="S91" s="81">
        <v>1.2749999999999999</v>
      </c>
      <c r="T91" s="81">
        <v>9978.73</v>
      </c>
      <c r="U91" s="81">
        <v>9978.65</v>
      </c>
      <c r="V91" s="81" t="s">
        <v>66</v>
      </c>
      <c r="W91" s="81">
        <v>4000000</v>
      </c>
      <c r="X91" s="81">
        <v>0.16669999999999999</v>
      </c>
      <c r="Y91" s="81">
        <v>0.1666</v>
      </c>
      <c r="Z91" s="81" t="s">
        <v>550</v>
      </c>
    </row>
    <row r="92" spans="1:26" ht="16.5">
      <c r="A92" s="81" t="s">
        <v>544</v>
      </c>
      <c r="B92" s="82">
        <v>43669</v>
      </c>
      <c r="C92" s="81" t="s">
        <v>6</v>
      </c>
      <c r="D92" s="82">
        <v>43760</v>
      </c>
      <c r="E92" s="81" t="s">
        <v>6</v>
      </c>
      <c r="F92" s="81" t="s">
        <v>846</v>
      </c>
      <c r="G92" s="83">
        <v>800000</v>
      </c>
      <c r="H92" s="83">
        <v>800000</v>
      </c>
      <c r="I92" s="81" t="s">
        <v>8</v>
      </c>
      <c r="J92" s="81">
        <v>12</v>
      </c>
      <c r="K92" s="81">
        <v>1.4850000000000001</v>
      </c>
      <c r="L92" s="81" t="s">
        <v>34</v>
      </c>
      <c r="M92" s="81" t="s">
        <v>34</v>
      </c>
      <c r="N92" s="81" t="s">
        <v>35</v>
      </c>
      <c r="O92" s="81" t="s">
        <v>36</v>
      </c>
      <c r="P92" s="81" t="s">
        <v>37</v>
      </c>
      <c r="Q92" s="81" t="s">
        <v>38</v>
      </c>
      <c r="R92" s="81" t="s">
        <v>39</v>
      </c>
      <c r="S92" s="81">
        <v>1.2749999999999999</v>
      </c>
      <c r="T92" s="81">
        <v>9981.16</v>
      </c>
      <c r="U92" s="81">
        <v>9981.09</v>
      </c>
      <c r="V92" s="81" t="s">
        <v>66</v>
      </c>
      <c r="W92" s="81">
        <v>4000000</v>
      </c>
      <c r="X92" s="81">
        <v>0.14760000000000001</v>
      </c>
      <c r="Y92" s="81">
        <v>0.14749999999999999</v>
      </c>
      <c r="Z92" s="81" t="s">
        <v>545</v>
      </c>
    </row>
    <row r="93" spans="1:26" ht="16.5">
      <c r="A93" s="81" t="s">
        <v>481</v>
      </c>
      <c r="B93" s="82">
        <v>43571</v>
      </c>
      <c r="C93" s="81" t="s">
        <v>6</v>
      </c>
      <c r="D93" s="82">
        <v>43753</v>
      </c>
      <c r="E93" s="81" t="s">
        <v>6</v>
      </c>
      <c r="F93" s="81" t="s">
        <v>847</v>
      </c>
      <c r="G93" s="83">
        <v>300000</v>
      </c>
      <c r="H93" s="83">
        <v>300000</v>
      </c>
      <c r="I93" s="81" t="s">
        <v>8</v>
      </c>
      <c r="J93" s="81">
        <v>12</v>
      </c>
      <c r="K93" s="81">
        <v>1.764</v>
      </c>
      <c r="L93" s="81" t="s">
        <v>34</v>
      </c>
      <c r="M93" s="81" t="s">
        <v>34</v>
      </c>
      <c r="N93" s="81" t="s">
        <v>35</v>
      </c>
      <c r="O93" s="81" t="s">
        <v>36</v>
      </c>
      <c r="P93" s="81" t="s">
        <v>37</v>
      </c>
      <c r="Q93" s="81" t="s">
        <v>38</v>
      </c>
      <c r="R93" s="81" t="s">
        <v>39</v>
      </c>
      <c r="S93" s="81">
        <v>1.2749999999999999</v>
      </c>
      <c r="T93" s="81">
        <v>9983.6</v>
      </c>
      <c r="U93" s="81">
        <v>9983.5400000000009</v>
      </c>
      <c r="V93" s="81" t="s">
        <v>66</v>
      </c>
      <c r="W93" s="81">
        <v>4000000</v>
      </c>
      <c r="X93" s="81">
        <v>0.1285</v>
      </c>
      <c r="Y93" s="81">
        <v>0.12839999999999999</v>
      </c>
      <c r="Z93" s="81" t="s">
        <v>482</v>
      </c>
    </row>
    <row r="94" spans="1:26" ht="16.5">
      <c r="A94" s="81" t="s">
        <v>542</v>
      </c>
      <c r="B94" s="82">
        <v>43662</v>
      </c>
      <c r="C94" s="81" t="s">
        <v>6</v>
      </c>
      <c r="D94" s="82">
        <v>43753</v>
      </c>
      <c r="E94" s="81" t="s">
        <v>6</v>
      </c>
      <c r="F94" s="81" t="s">
        <v>847</v>
      </c>
      <c r="G94" s="83">
        <v>770000</v>
      </c>
      <c r="H94" s="83">
        <v>770000</v>
      </c>
      <c r="I94" s="81" t="s">
        <v>8</v>
      </c>
      <c r="J94" s="81">
        <v>12</v>
      </c>
      <c r="K94" s="81">
        <v>1.5149999999999999</v>
      </c>
      <c r="L94" s="81" t="s">
        <v>34</v>
      </c>
      <c r="M94" s="81" t="s">
        <v>34</v>
      </c>
      <c r="N94" s="81" t="s">
        <v>35</v>
      </c>
      <c r="O94" s="81" t="s">
        <v>36</v>
      </c>
      <c r="P94" s="81" t="s">
        <v>37</v>
      </c>
      <c r="Q94" s="81" t="s">
        <v>38</v>
      </c>
      <c r="R94" s="81" t="s">
        <v>39</v>
      </c>
      <c r="S94" s="81">
        <v>1.2749999999999999</v>
      </c>
      <c r="T94" s="81">
        <v>9983.6</v>
      </c>
      <c r="U94" s="81">
        <v>9983.5400000000009</v>
      </c>
      <c r="V94" s="81" t="s">
        <v>66</v>
      </c>
      <c r="W94" s="81">
        <v>4000000</v>
      </c>
      <c r="X94" s="81">
        <v>0.1285</v>
      </c>
      <c r="Y94" s="81">
        <v>0.12839999999999999</v>
      </c>
      <c r="Z94" s="81" t="s">
        <v>543</v>
      </c>
    </row>
    <row r="95" spans="1:26" ht="16.5">
      <c r="A95" s="81" t="s">
        <v>533</v>
      </c>
      <c r="B95" s="82">
        <v>43655</v>
      </c>
      <c r="C95" s="81" t="s">
        <v>6</v>
      </c>
      <c r="D95" s="82">
        <v>43746</v>
      </c>
      <c r="E95" s="81" t="s">
        <v>6</v>
      </c>
      <c r="F95" s="81" t="s">
        <v>848</v>
      </c>
      <c r="G95" s="83">
        <v>900000</v>
      </c>
      <c r="H95" s="83">
        <v>900000</v>
      </c>
      <c r="I95" s="81" t="s">
        <v>8</v>
      </c>
      <c r="J95" s="81">
        <v>12</v>
      </c>
      <c r="K95" s="81">
        <v>1.534</v>
      </c>
      <c r="L95" s="81" t="s">
        <v>34</v>
      </c>
      <c r="M95" s="81" t="s">
        <v>34</v>
      </c>
      <c r="N95" s="81" t="s">
        <v>35</v>
      </c>
      <c r="O95" s="81" t="s">
        <v>36</v>
      </c>
      <c r="P95" s="81" t="s">
        <v>37</v>
      </c>
      <c r="Q95" s="81" t="s">
        <v>38</v>
      </c>
      <c r="R95" s="81" t="s">
        <v>39</v>
      </c>
      <c r="S95" s="81">
        <v>1.2749999999999999</v>
      </c>
      <c r="T95" s="81">
        <v>9986.0400000000009</v>
      </c>
      <c r="U95" s="81">
        <v>9985.99</v>
      </c>
      <c r="V95" s="81" t="s">
        <v>66</v>
      </c>
      <c r="W95" s="81">
        <v>4000000</v>
      </c>
      <c r="X95" s="81">
        <v>0.1094</v>
      </c>
      <c r="Y95" s="81">
        <v>0.10920000000000001</v>
      </c>
      <c r="Z95" s="81" t="s">
        <v>534</v>
      </c>
    </row>
    <row r="96" spans="1:26" ht="16.5">
      <c r="A96" s="81" t="s">
        <v>330</v>
      </c>
      <c r="B96" s="82">
        <v>43010</v>
      </c>
      <c r="C96" s="81" t="s">
        <v>40</v>
      </c>
      <c r="D96" s="82">
        <v>43740</v>
      </c>
      <c r="E96" s="81" t="s">
        <v>5</v>
      </c>
      <c r="F96" s="81" t="s">
        <v>759</v>
      </c>
      <c r="G96" s="83">
        <v>11970000</v>
      </c>
      <c r="H96" s="83">
        <v>8310000</v>
      </c>
      <c r="I96" s="81" t="s">
        <v>33</v>
      </c>
      <c r="J96" s="81">
        <v>3</v>
      </c>
      <c r="K96" s="81">
        <v>1.85</v>
      </c>
      <c r="L96" s="81" t="s">
        <v>34</v>
      </c>
      <c r="M96" s="81" t="s">
        <v>34</v>
      </c>
      <c r="N96" s="81" t="s">
        <v>35</v>
      </c>
      <c r="O96" s="81" t="s">
        <v>36</v>
      </c>
      <c r="P96" s="81" t="s">
        <v>37</v>
      </c>
      <c r="Q96" s="81" t="s">
        <v>38</v>
      </c>
      <c r="R96" s="81" t="s">
        <v>39</v>
      </c>
      <c r="S96" s="81">
        <v>1.2749999999999999</v>
      </c>
      <c r="T96" s="81">
        <v>10034.42</v>
      </c>
      <c r="U96" s="81">
        <v>10005.23</v>
      </c>
      <c r="V96" s="81" t="s">
        <v>66</v>
      </c>
      <c r="W96" s="81">
        <v>4000000</v>
      </c>
      <c r="X96" s="81">
        <v>9.2200000000000004E-2</v>
      </c>
      <c r="Y96" s="81">
        <v>9.2799999999999994E-2</v>
      </c>
      <c r="Z96" s="81" t="s">
        <v>323</v>
      </c>
    </row>
    <row r="97" spans="1:26" ht="16.5">
      <c r="A97" s="81" t="s">
        <v>477</v>
      </c>
      <c r="B97" s="82">
        <v>43557</v>
      </c>
      <c r="C97" s="81" t="s">
        <v>6</v>
      </c>
      <c r="D97" s="82">
        <v>43739</v>
      </c>
      <c r="E97" s="81" t="s">
        <v>6</v>
      </c>
      <c r="F97" s="81" t="s">
        <v>849</v>
      </c>
      <c r="G97" s="83">
        <v>310000</v>
      </c>
      <c r="H97" s="83">
        <v>310000</v>
      </c>
      <c r="I97" s="81" t="s">
        <v>8</v>
      </c>
      <c r="J97" s="81">
        <v>12</v>
      </c>
      <c r="K97" s="81">
        <v>1.784</v>
      </c>
      <c r="L97" s="81" t="s">
        <v>34</v>
      </c>
      <c r="M97" s="81" t="s">
        <v>34</v>
      </c>
      <c r="N97" s="81" t="s">
        <v>35</v>
      </c>
      <c r="O97" s="81" t="s">
        <v>36</v>
      </c>
      <c r="P97" s="81" t="s">
        <v>37</v>
      </c>
      <c r="Q97" s="81" t="s">
        <v>38</v>
      </c>
      <c r="R97" s="81" t="s">
        <v>39</v>
      </c>
      <c r="S97" s="81">
        <v>1.2749999999999999</v>
      </c>
      <c r="T97" s="81">
        <v>9988.48</v>
      </c>
      <c r="U97" s="81">
        <v>9988.44</v>
      </c>
      <c r="V97" s="81" t="s">
        <v>66</v>
      </c>
      <c r="W97" s="81">
        <v>4000000</v>
      </c>
      <c r="X97" s="81">
        <v>9.0300000000000005E-2</v>
      </c>
      <c r="Y97" s="81">
        <v>9.01E-2</v>
      </c>
      <c r="Z97" s="81" t="s">
        <v>478</v>
      </c>
    </row>
    <row r="98" spans="1:26" ht="16.5">
      <c r="A98" s="81" t="s">
        <v>527</v>
      </c>
      <c r="B98" s="82">
        <v>43648</v>
      </c>
      <c r="C98" s="81" t="s">
        <v>6</v>
      </c>
      <c r="D98" s="82">
        <v>43739</v>
      </c>
      <c r="E98" s="81" t="s">
        <v>6</v>
      </c>
      <c r="F98" s="81" t="s">
        <v>849</v>
      </c>
      <c r="G98" s="83">
        <v>900000</v>
      </c>
      <c r="H98" s="83">
        <v>900000</v>
      </c>
      <c r="I98" s="81" t="s">
        <v>8</v>
      </c>
      <c r="J98" s="81">
        <v>12</v>
      </c>
      <c r="K98" s="81">
        <v>1.5740000000000001</v>
      </c>
      <c r="L98" s="81" t="s">
        <v>34</v>
      </c>
      <c r="M98" s="81" t="s">
        <v>34</v>
      </c>
      <c r="N98" s="81" t="s">
        <v>35</v>
      </c>
      <c r="O98" s="81" t="s">
        <v>36</v>
      </c>
      <c r="P98" s="81" t="s">
        <v>37</v>
      </c>
      <c r="Q98" s="81" t="s">
        <v>38</v>
      </c>
      <c r="R98" s="81" t="s">
        <v>39</v>
      </c>
      <c r="S98" s="81">
        <v>1.2749999999999999</v>
      </c>
      <c r="T98" s="81">
        <v>9988.48</v>
      </c>
      <c r="U98" s="81">
        <v>9988.44</v>
      </c>
      <c r="V98" s="81" t="s">
        <v>66</v>
      </c>
      <c r="W98" s="81">
        <v>4000000</v>
      </c>
      <c r="X98" s="81">
        <v>9.0300000000000005E-2</v>
      </c>
      <c r="Y98" s="81">
        <v>9.01E-2</v>
      </c>
      <c r="Z98" s="81" t="s">
        <v>528</v>
      </c>
    </row>
    <row r="99" spans="1:26" ht="16.5">
      <c r="A99" s="81" t="s">
        <v>519</v>
      </c>
      <c r="B99" s="82">
        <v>43641</v>
      </c>
      <c r="C99" s="81" t="s">
        <v>6</v>
      </c>
      <c r="D99" s="82">
        <v>43732</v>
      </c>
      <c r="E99" s="81" t="s">
        <v>6</v>
      </c>
      <c r="F99" s="81" t="s">
        <v>850</v>
      </c>
      <c r="G99" s="83">
        <v>600000</v>
      </c>
      <c r="H99" s="83">
        <v>600000</v>
      </c>
      <c r="I99" s="81" t="s">
        <v>8</v>
      </c>
      <c r="J99" s="81">
        <v>12</v>
      </c>
      <c r="K99" s="81">
        <v>1.5640000000000001</v>
      </c>
      <c r="L99" s="81" t="s">
        <v>34</v>
      </c>
      <c r="M99" s="81" t="s">
        <v>34</v>
      </c>
      <c r="N99" s="81" t="s">
        <v>35</v>
      </c>
      <c r="O99" s="81" t="s">
        <v>36</v>
      </c>
      <c r="P99" s="81" t="s">
        <v>37</v>
      </c>
      <c r="Q99" s="81" t="s">
        <v>38</v>
      </c>
      <c r="R99" s="81" t="s">
        <v>39</v>
      </c>
      <c r="S99" s="81">
        <v>1.2749999999999999</v>
      </c>
      <c r="T99" s="81">
        <v>9990.92</v>
      </c>
      <c r="U99" s="81">
        <v>9990.89</v>
      </c>
      <c r="V99" s="81" t="s">
        <v>66</v>
      </c>
      <c r="W99" s="81">
        <v>4000000</v>
      </c>
      <c r="X99" s="81">
        <v>7.1099999999999997E-2</v>
      </c>
      <c r="Y99" s="81">
        <v>7.0999999999999994E-2</v>
      </c>
      <c r="Z99" s="81" t="s">
        <v>520</v>
      </c>
    </row>
    <row r="100" spans="1:26" ht="16.5">
      <c r="A100" s="81" t="s">
        <v>471</v>
      </c>
      <c r="B100" s="82">
        <v>43543</v>
      </c>
      <c r="C100" s="81" t="s">
        <v>6</v>
      </c>
      <c r="D100" s="82">
        <v>43725</v>
      </c>
      <c r="E100" s="81" t="s">
        <v>6</v>
      </c>
      <c r="F100" s="81" t="s">
        <v>851</v>
      </c>
      <c r="G100" s="83">
        <v>250000</v>
      </c>
      <c r="H100" s="83">
        <v>250000</v>
      </c>
      <c r="I100" s="81" t="s">
        <v>8</v>
      </c>
      <c r="J100" s="81">
        <v>12</v>
      </c>
      <c r="K100" s="81">
        <v>1.794</v>
      </c>
      <c r="L100" s="81" t="s">
        <v>34</v>
      </c>
      <c r="M100" s="81" t="s">
        <v>34</v>
      </c>
      <c r="N100" s="81" t="s">
        <v>35</v>
      </c>
      <c r="O100" s="81" t="s">
        <v>36</v>
      </c>
      <c r="P100" s="81" t="s">
        <v>37</v>
      </c>
      <c r="Q100" s="81" t="s">
        <v>38</v>
      </c>
      <c r="R100" s="81" t="s">
        <v>39</v>
      </c>
      <c r="S100" s="81">
        <v>1.2749999999999999</v>
      </c>
      <c r="T100" s="81">
        <v>9993.36</v>
      </c>
      <c r="U100" s="81">
        <v>9993.34</v>
      </c>
      <c r="V100" s="81" t="s">
        <v>66</v>
      </c>
      <c r="W100" s="81">
        <v>4000000</v>
      </c>
      <c r="X100" s="81">
        <v>5.1999999999999998E-2</v>
      </c>
      <c r="Y100" s="81">
        <v>5.1900000000000002E-2</v>
      </c>
      <c r="Z100" s="81" t="s">
        <v>472</v>
      </c>
    </row>
    <row r="101" spans="1:26" ht="16.5">
      <c r="A101" s="81" t="s">
        <v>517</v>
      </c>
      <c r="B101" s="82">
        <v>43634</v>
      </c>
      <c r="C101" s="81" t="s">
        <v>6</v>
      </c>
      <c r="D101" s="82">
        <v>43725</v>
      </c>
      <c r="E101" s="81" t="s">
        <v>6</v>
      </c>
      <c r="F101" s="81" t="s">
        <v>851</v>
      </c>
      <c r="G101" s="83">
        <v>800000</v>
      </c>
      <c r="H101" s="83">
        <v>800000</v>
      </c>
      <c r="I101" s="81" t="s">
        <v>8</v>
      </c>
      <c r="J101" s="81">
        <v>12</v>
      </c>
      <c r="K101" s="81">
        <v>1.534</v>
      </c>
      <c r="L101" s="81" t="s">
        <v>34</v>
      </c>
      <c r="M101" s="81" t="s">
        <v>34</v>
      </c>
      <c r="N101" s="81" t="s">
        <v>35</v>
      </c>
      <c r="O101" s="81" t="s">
        <v>36</v>
      </c>
      <c r="P101" s="81" t="s">
        <v>37</v>
      </c>
      <c r="Q101" s="81" t="s">
        <v>38</v>
      </c>
      <c r="R101" s="81" t="s">
        <v>39</v>
      </c>
      <c r="S101" s="81">
        <v>1.2749999999999999</v>
      </c>
      <c r="T101" s="81">
        <v>9993.36</v>
      </c>
      <c r="U101" s="81">
        <v>9993.34</v>
      </c>
      <c r="V101" s="81" t="s">
        <v>66</v>
      </c>
      <c r="W101" s="81">
        <v>4000000</v>
      </c>
      <c r="X101" s="81">
        <v>5.1999999999999998E-2</v>
      </c>
      <c r="Y101" s="81">
        <v>5.1900000000000002E-2</v>
      </c>
      <c r="Z101" s="81" t="s">
        <v>518</v>
      </c>
    </row>
    <row r="102" spans="1:26" ht="16.5">
      <c r="A102" s="81" t="s">
        <v>509</v>
      </c>
      <c r="B102" s="82">
        <v>43627</v>
      </c>
      <c r="C102" s="81" t="s">
        <v>6</v>
      </c>
      <c r="D102" s="82">
        <v>43718</v>
      </c>
      <c r="E102" s="81" t="s">
        <v>6</v>
      </c>
      <c r="F102" s="81" t="s">
        <v>762</v>
      </c>
      <c r="G102" s="83">
        <v>800000</v>
      </c>
      <c r="H102" s="83">
        <v>800000</v>
      </c>
      <c r="I102" s="81" t="s">
        <v>8</v>
      </c>
      <c r="J102" s="81">
        <v>12</v>
      </c>
      <c r="K102" s="81">
        <v>1.5940000000000001</v>
      </c>
      <c r="L102" s="81" t="s">
        <v>34</v>
      </c>
      <c r="M102" s="81" t="s">
        <v>34</v>
      </c>
      <c r="N102" s="81" t="s">
        <v>35</v>
      </c>
      <c r="O102" s="81" t="s">
        <v>36</v>
      </c>
      <c r="P102" s="81" t="s">
        <v>37</v>
      </c>
      <c r="Q102" s="81" t="s">
        <v>38</v>
      </c>
      <c r="R102" s="81" t="s">
        <v>39</v>
      </c>
      <c r="S102" s="81">
        <v>1.2749999999999999</v>
      </c>
      <c r="T102" s="81">
        <v>9995.7999999999993</v>
      </c>
      <c r="U102" s="81">
        <v>9995.7900000000009</v>
      </c>
      <c r="V102" s="81" t="s">
        <v>66</v>
      </c>
      <c r="W102" s="81">
        <v>4000000</v>
      </c>
      <c r="X102" s="81">
        <v>3.2800000000000003E-2</v>
      </c>
      <c r="Y102" s="81">
        <v>3.27E-2</v>
      </c>
      <c r="Z102" s="81" t="s">
        <v>510</v>
      </c>
    </row>
    <row r="103" spans="1:26" ht="16.5">
      <c r="A103" s="81" t="s">
        <v>397</v>
      </c>
      <c r="B103" s="82">
        <v>43352</v>
      </c>
      <c r="C103" s="81" t="s">
        <v>13</v>
      </c>
      <c r="D103" s="82">
        <v>43717</v>
      </c>
      <c r="E103" s="81" t="s">
        <v>40</v>
      </c>
      <c r="F103" s="81" t="s">
        <v>852</v>
      </c>
      <c r="G103" s="83">
        <v>6300000</v>
      </c>
      <c r="H103" s="83">
        <v>5720000</v>
      </c>
      <c r="I103" s="81" t="s">
        <v>33</v>
      </c>
      <c r="J103" s="81">
        <v>3</v>
      </c>
      <c r="K103" s="81">
        <v>1.8</v>
      </c>
      <c r="L103" s="81" t="s">
        <v>34</v>
      </c>
      <c r="M103" s="81" t="s">
        <v>34</v>
      </c>
      <c r="N103" s="81" t="s">
        <v>35</v>
      </c>
      <c r="O103" s="81" t="s">
        <v>36</v>
      </c>
      <c r="P103" s="81" t="s">
        <v>37</v>
      </c>
      <c r="Q103" s="81" t="s">
        <v>38</v>
      </c>
      <c r="R103" s="81" t="s">
        <v>39</v>
      </c>
      <c r="S103" s="81">
        <v>1.2749999999999999</v>
      </c>
      <c r="T103" s="81">
        <v>10041.16</v>
      </c>
      <c r="U103" s="81">
        <v>10001.540000000001</v>
      </c>
      <c r="V103" s="81" t="s">
        <v>66</v>
      </c>
      <c r="W103" s="81">
        <v>4000000</v>
      </c>
      <c r="X103" s="81">
        <v>2.98E-2</v>
      </c>
      <c r="Y103" s="81">
        <v>0.03</v>
      </c>
      <c r="Z103" s="81" t="s">
        <v>398</v>
      </c>
    </row>
    <row r="104" spans="1:26" ht="16.5">
      <c r="A104" s="81" t="s">
        <v>466</v>
      </c>
      <c r="B104" s="82">
        <v>43529</v>
      </c>
      <c r="C104" s="81" t="s">
        <v>6</v>
      </c>
      <c r="D104" s="82">
        <v>43711</v>
      </c>
      <c r="E104" s="81" t="s">
        <v>6</v>
      </c>
      <c r="F104" s="81" t="s">
        <v>853</v>
      </c>
      <c r="G104" s="83">
        <v>370000</v>
      </c>
      <c r="H104" s="83">
        <v>370000</v>
      </c>
      <c r="I104" s="81" t="s">
        <v>8</v>
      </c>
      <c r="J104" s="81">
        <v>12</v>
      </c>
      <c r="K104" s="81">
        <v>1.8029999999999999</v>
      </c>
      <c r="L104" s="81" t="s">
        <v>34</v>
      </c>
      <c r="M104" s="81" t="s">
        <v>34</v>
      </c>
      <c r="N104" s="81" t="s">
        <v>35</v>
      </c>
      <c r="O104" s="81" t="s">
        <v>36</v>
      </c>
      <c r="P104" s="81" t="s">
        <v>37</v>
      </c>
      <c r="Q104" s="81" t="s">
        <v>38</v>
      </c>
      <c r="R104" s="81" t="s">
        <v>39</v>
      </c>
      <c r="S104" s="81">
        <v>1.2749999999999999</v>
      </c>
      <c r="T104" s="81">
        <v>9998.25</v>
      </c>
      <c r="U104" s="81">
        <v>9998.24</v>
      </c>
      <c r="V104" s="81" t="s">
        <v>66</v>
      </c>
      <c r="W104" s="81">
        <v>4000000</v>
      </c>
      <c r="X104" s="81">
        <v>1.3599999999999999E-2</v>
      </c>
      <c r="Y104" s="81">
        <v>1.3599999999999999E-2</v>
      </c>
      <c r="Z104" s="81" t="s">
        <v>467</v>
      </c>
    </row>
    <row r="105" spans="1:26" ht="16.5">
      <c r="A105" s="81" t="s">
        <v>499</v>
      </c>
      <c r="B105" s="82">
        <v>43620</v>
      </c>
      <c r="C105" s="81" t="s">
        <v>6</v>
      </c>
      <c r="D105" s="82">
        <v>43711</v>
      </c>
      <c r="E105" s="81" t="s">
        <v>6</v>
      </c>
      <c r="F105" s="81" t="s">
        <v>853</v>
      </c>
      <c r="G105" s="83">
        <v>800000</v>
      </c>
      <c r="H105" s="83">
        <v>800000</v>
      </c>
      <c r="I105" s="81" t="s">
        <v>8</v>
      </c>
      <c r="J105" s="81">
        <v>12</v>
      </c>
      <c r="K105" s="81">
        <v>1.6140000000000001</v>
      </c>
      <c r="L105" s="81" t="s">
        <v>34</v>
      </c>
      <c r="M105" s="81" t="s">
        <v>34</v>
      </c>
      <c r="N105" s="81" t="s">
        <v>35</v>
      </c>
      <c r="O105" s="81" t="s">
        <v>36</v>
      </c>
      <c r="P105" s="81" t="s">
        <v>37</v>
      </c>
      <c r="Q105" s="81" t="s">
        <v>38</v>
      </c>
      <c r="R105" s="81" t="s">
        <v>39</v>
      </c>
      <c r="S105" s="81">
        <v>1.2749999999999999</v>
      </c>
      <c r="T105" s="81">
        <v>9998.25</v>
      </c>
      <c r="U105" s="81">
        <v>9998.24</v>
      </c>
      <c r="V105" s="81" t="s">
        <v>66</v>
      </c>
      <c r="W105" s="81">
        <v>4000000</v>
      </c>
      <c r="X105" s="81">
        <v>1.3599999999999999E-2</v>
      </c>
      <c r="Y105" s="81">
        <v>1.3599999999999999E-2</v>
      </c>
      <c r="Z105" s="81" t="s">
        <v>500</v>
      </c>
    </row>
    <row r="106" spans="1:26" ht="16.5"/>
    <row r="107" spans="1:26" ht="16.5"/>
    <row r="108" spans="1:26" ht="16.5"/>
    <row r="109" spans="1:26" ht="16.5"/>
    <row r="110" spans="1:26" ht="16.5"/>
    <row r="111" spans="1:26" ht="16.5"/>
    <row r="112" spans="1:26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  <row r="196" ht="16.5"/>
    <row r="197" ht="16.5"/>
    <row r="198" ht="16.5"/>
    <row r="199" ht="16.5"/>
    <row r="200" ht="16.5"/>
    <row r="201" ht="16.5"/>
    <row r="202" ht="16.5"/>
    <row r="203" ht="16.5"/>
    <row r="204" ht="16.5"/>
    <row r="205" ht="16.5"/>
    <row r="206" ht="16.5"/>
    <row r="207" ht="16.5"/>
    <row r="208" ht="16.5"/>
    <row r="209" ht="16.5"/>
    <row r="210" ht="16.5"/>
    <row r="211" ht="16.5"/>
    <row r="212" ht="16.5"/>
    <row r="213" ht="16.5"/>
    <row r="214" ht="16.5"/>
    <row r="215" ht="16.5"/>
    <row r="216" ht="16.5"/>
    <row r="217" ht="16.5"/>
    <row r="218" ht="16.5"/>
    <row r="219" ht="16.5"/>
    <row r="220" ht="16.5"/>
    <row r="221" ht="16.5"/>
    <row r="222" ht="16.5"/>
    <row r="223" ht="16.5"/>
    <row r="224" ht="16.5"/>
    <row r="225" ht="16.5"/>
    <row r="226" ht="16.5"/>
    <row r="227" ht="16.5"/>
    <row r="228" ht="16.5"/>
    <row r="229" ht="16.5"/>
    <row r="230" ht="16.5"/>
    <row r="231" ht="16.5"/>
    <row r="232" ht="16.5"/>
    <row r="233" ht="16.5"/>
    <row r="234" ht="16.5"/>
    <row r="235" ht="16.5"/>
    <row r="236" ht="16.5"/>
    <row r="237" ht="16.5"/>
    <row r="238" ht="16.5"/>
    <row r="239" ht="16.5"/>
    <row r="240" ht="16.5"/>
    <row r="241" ht="16.5"/>
    <row r="242" ht="16.5"/>
    <row r="243" ht="16.5"/>
    <row r="244" ht="16.5"/>
    <row r="245" ht="16.5"/>
    <row r="246" ht="16.5"/>
    <row r="247" ht="16.5"/>
    <row r="248" ht="16.5"/>
    <row r="249" ht="16.5"/>
    <row r="250" ht="16.5"/>
    <row r="251" ht="16.5"/>
    <row r="252" ht="16.5"/>
    <row r="253" ht="16.5"/>
    <row r="254" ht="16.5"/>
    <row r="255" ht="16.5"/>
    <row r="256" ht="16.5"/>
    <row r="257" ht="16.5"/>
    <row r="258" ht="16.5"/>
    <row r="259" ht="16.5"/>
    <row r="260" ht="16.5"/>
    <row r="261" ht="16.5"/>
    <row r="262" ht="16.5"/>
    <row r="263" ht="16.5"/>
    <row r="264" ht="16.5"/>
    <row r="265" ht="16.5"/>
    <row r="266" ht="16.5"/>
    <row r="267" ht="16.5"/>
    <row r="268" ht="16.5"/>
    <row r="269" ht="16.5"/>
    <row r="270" ht="16.5"/>
    <row r="271" ht="16.5"/>
    <row r="272" ht="16.5"/>
    <row r="273" ht="16.5"/>
    <row r="274" ht="16.5"/>
    <row r="275" ht="16.5"/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Z105"/>
  <sheetViews>
    <sheetView topLeftCell="A71" workbookViewId="0">
      <selection activeCell="A83" sqref="A1:IV65536"/>
    </sheetView>
  </sheetViews>
  <sheetFormatPr defaultRowHeight="13.5"/>
  <cols>
    <col min="1" max="16384" width="8.88671875" style="81"/>
  </cols>
  <sheetData>
    <row r="1" spans="1:26">
      <c r="A1" s="81" t="s">
        <v>0</v>
      </c>
      <c r="B1" s="81" t="s">
        <v>12</v>
      </c>
      <c r="C1" s="81" t="s">
        <v>13</v>
      </c>
      <c r="D1" s="81" t="s">
        <v>279</v>
      </c>
      <c r="E1" s="81" t="s">
        <v>13</v>
      </c>
      <c r="F1" s="81" t="s">
        <v>14</v>
      </c>
      <c r="G1" s="81" t="s">
        <v>15</v>
      </c>
      <c r="H1" s="81" t="s">
        <v>16</v>
      </c>
      <c r="I1" s="81" t="s">
        <v>17</v>
      </c>
      <c r="J1" s="81" t="s">
        <v>18</v>
      </c>
      <c r="K1" s="81" t="s">
        <v>19</v>
      </c>
      <c r="L1" s="81" t="s">
        <v>20</v>
      </c>
      <c r="M1" s="81" t="s">
        <v>21</v>
      </c>
      <c r="N1" s="81" t="s">
        <v>22</v>
      </c>
      <c r="O1" s="81" t="s">
        <v>23</v>
      </c>
      <c r="P1" s="81" t="s">
        <v>24</v>
      </c>
      <c r="Q1" s="81" t="s">
        <v>25</v>
      </c>
      <c r="R1" s="81" t="s">
        <v>26</v>
      </c>
      <c r="S1" s="81" t="s">
        <v>200</v>
      </c>
      <c r="T1" s="81" t="s">
        <v>27</v>
      </c>
      <c r="U1" s="81" t="s">
        <v>28</v>
      </c>
      <c r="V1" s="81" t="s">
        <v>29</v>
      </c>
      <c r="W1" s="81" t="s">
        <v>201</v>
      </c>
      <c r="X1" s="81" t="s">
        <v>30</v>
      </c>
      <c r="Y1" s="81" t="s">
        <v>31</v>
      </c>
      <c r="Z1" s="81" t="s">
        <v>32</v>
      </c>
    </row>
    <row r="2" spans="1:26">
      <c r="A2" s="81" t="s">
        <v>473</v>
      </c>
      <c r="B2" s="82">
        <v>43626</v>
      </c>
      <c r="C2" s="81" t="s">
        <v>40</v>
      </c>
      <c r="D2" s="82">
        <v>44722</v>
      </c>
      <c r="E2" s="81" t="s">
        <v>10</v>
      </c>
      <c r="F2" s="81" t="s">
        <v>688</v>
      </c>
      <c r="G2" s="83">
        <v>7990000</v>
      </c>
      <c r="H2" s="83">
        <v>7990000</v>
      </c>
      <c r="I2" s="81" t="s">
        <v>33</v>
      </c>
      <c r="J2" s="81">
        <v>6</v>
      </c>
      <c r="K2" s="81">
        <v>1.625</v>
      </c>
      <c r="L2" s="81" t="s">
        <v>34</v>
      </c>
      <c r="M2" s="81" t="s">
        <v>34</v>
      </c>
      <c r="N2" s="81" t="s">
        <v>35</v>
      </c>
      <c r="O2" s="81" t="s">
        <v>36</v>
      </c>
      <c r="P2" s="81" t="s">
        <v>37</v>
      </c>
      <c r="Q2" s="81" t="s">
        <v>38</v>
      </c>
      <c r="R2" s="81" t="s">
        <v>39</v>
      </c>
      <c r="S2" s="81">
        <v>1.177</v>
      </c>
      <c r="T2" s="81">
        <v>10157.32</v>
      </c>
      <c r="U2" s="81">
        <v>10122.25</v>
      </c>
      <c r="V2" s="81" t="s">
        <v>60</v>
      </c>
      <c r="W2" s="81">
        <v>1010000</v>
      </c>
      <c r="X2" s="81">
        <v>2.7101000000000002</v>
      </c>
      <c r="Y2" s="81">
        <v>2.7242000000000002</v>
      </c>
      <c r="Z2" s="81" t="s">
        <v>474</v>
      </c>
    </row>
    <row r="3" spans="1:26">
      <c r="A3" s="81" t="s">
        <v>430</v>
      </c>
      <c r="B3" s="82">
        <v>43444</v>
      </c>
      <c r="C3" s="81" t="s">
        <v>40</v>
      </c>
      <c r="D3" s="82">
        <v>44540</v>
      </c>
      <c r="E3" s="81" t="s">
        <v>10</v>
      </c>
      <c r="F3" s="81" t="s">
        <v>689</v>
      </c>
      <c r="G3" s="83">
        <v>9943000</v>
      </c>
      <c r="H3" s="83">
        <v>9943000</v>
      </c>
      <c r="I3" s="81" t="s">
        <v>33</v>
      </c>
      <c r="J3" s="81">
        <v>6</v>
      </c>
      <c r="K3" s="81">
        <v>2</v>
      </c>
      <c r="L3" s="81" t="s">
        <v>34</v>
      </c>
      <c r="M3" s="81" t="s">
        <v>34</v>
      </c>
      <c r="N3" s="81" t="s">
        <v>35</v>
      </c>
      <c r="O3" s="81" t="s">
        <v>36</v>
      </c>
      <c r="P3" s="81" t="s">
        <v>37</v>
      </c>
      <c r="Q3" s="81" t="s">
        <v>38</v>
      </c>
      <c r="R3" s="81" t="s">
        <v>39</v>
      </c>
      <c r="S3" s="81">
        <v>1.2050000000000001</v>
      </c>
      <c r="T3" s="81">
        <v>10221.629999999999</v>
      </c>
      <c r="U3" s="81">
        <v>10178.469999999999</v>
      </c>
      <c r="V3" s="81" t="s">
        <v>60</v>
      </c>
      <c r="W3" s="81">
        <v>1010000</v>
      </c>
      <c r="X3" s="81">
        <v>2.2233000000000001</v>
      </c>
      <c r="Y3" s="81">
        <v>2.2364000000000002</v>
      </c>
      <c r="Z3" s="81" t="s">
        <v>431</v>
      </c>
    </row>
    <row r="4" spans="1:26">
      <c r="A4" s="81" t="s">
        <v>350</v>
      </c>
      <c r="B4" s="82">
        <v>43261</v>
      </c>
      <c r="C4" s="81" t="s">
        <v>13</v>
      </c>
      <c r="D4" s="82">
        <v>44357</v>
      </c>
      <c r="E4" s="81" t="s">
        <v>4</v>
      </c>
      <c r="F4" s="81" t="s">
        <v>690</v>
      </c>
      <c r="G4" s="83">
        <v>9469000</v>
      </c>
      <c r="H4" s="83">
        <v>9469000</v>
      </c>
      <c r="I4" s="81" t="s">
        <v>33</v>
      </c>
      <c r="J4" s="81">
        <v>6</v>
      </c>
      <c r="K4" s="81">
        <v>2.25</v>
      </c>
      <c r="L4" s="81" t="s">
        <v>34</v>
      </c>
      <c r="M4" s="81" t="s">
        <v>34</v>
      </c>
      <c r="N4" s="81" t="s">
        <v>35</v>
      </c>
      <c r="O4" s="81" t="s">
        <v>36</v>
      </c>
      <c r="P4" s="81" t="s">
        <v>37</v>
      </c>
      <c r="Q4" s="81" t="s">
        <v>38</v>
      </c>
      <c r="R4" s="81" t="s">
        <v>39</v>
      </c>
      <c r="S4" s="81">
        <v>1.204</v>
      </c>
      <c r="T4" s="81">
        <v>10232.51</v>
      </c>
      <c r="U4" s="81">
        <v>10183.780000000001</v>
      </c>
      <c r="V4" s="81" t="s">
        <v>60</v>
      </c>
      <c r="W4" s="81">
        <v>1010000</v>
      </c>
      <c r="X4" s="81">
        <v>1.7418</v>
      </c>
      <c r="Y4" s="81">
        <v>1.7507999999999999</v>
      </c>
      <c r="Z4" s="81" t="s">
        <v>351</v>
      </c>
    </row>
    <row r="5" spans="1:26">
      <c r="A5" s="81" t="s">
        <v>320</v>
      </c>
      <c r="B5" s="82">
        <v>43079</v>
      </c>
      <c r="C5" s="81" t="s">
        <v>13</v>
      </c>
      <c r="D5" s="82">
        <v>44175</v>
      </c>
      <c r="E5" s="81" t="s">
        <v>4</v>
      </c>
      <c r="F5" s="81" t="s">
        <v>691</v>
      </c>
      <c r="G5" s="83">
        <v>10705000</v>
      </c>
      <c r="H5" s="83">
        <v>10595000</v>
      </c>
      <c r="I5" s="81" t="s">
        <v>33</v>
      </c>
      <c r="J5" s="81">
        <v>6</v>
      </c>
      <c r="K5" s="81">
        <v>1.75</v>
      </c>
      <c r="L5" s="81" t="s">
        <v>34</v>
      </c>
      <c r="M5" s="81" t="s">
        <v>34</v>
      </c>
      <c r="N5" s="81" t="s">
        <v>35</v>
      </c>
      <c r="O5" s="81" t="s">
        <v>36</v>
      </c>
      <c r="P5" s="81" t="s">
        <v>37</v>
      </c>
      <c r="Q5" s="81" t="s">
        <v>38</v>
      </c>
      <c r="R5" s="81" t="s">
        <v>39</v>
      </c>
      <c r="S5" s="81">
        <v>1.151</v>
      </c>
      <c r="T5" s="81">
        <v>10113.709999999999</v>
      </c>
      <c r="U5" s="81">
        <v>10076.16</v>
      </c>
      <c r="V5" s="81" t="s">
        <v>60</v>
      </c>
      <c r="W5" s="81">
        <v>1010000</v>
      </c>
      <c r="X5" s="81">
        <v>1.2646999999999999</v>
      </c>
      <c r="Y5" s="81">
        <v>1.272</v>
      </c>
      <c r="Z5" s="81" t="s">
        <v>321</v>
      </c>
    </row>
    <row r="6" spans="1:26">
      <c r="A6" s="81" t="s">
        <v>298</v>
      </c>
      <c r="B6" s="82">
        <v>42896</v>
      </c>
      <c r="C6" s="81" t="s">
        <v>11</v>
      </c>
      <c r="D6" s="82">
        <v>43992</v>
      </c>
      <c r="E6" s="81" t="s">
        <v>5</v>
      </c>
      <c r="F6" s="81" t="s">
        <v>692</v>
      </c>
      <c r="G6" s="83">
        <v>9423000</v>
      </c>
      <c r="H6" s="83">
        <v>7539000</v>
      </c>
      <c r="I6" s="81" t="s">
        <v>33</v>
      </c>
      <c r="J6" s="81">
        <v>6</v>
      </c>
      <c r="K6" s="81">
        <v>1.75</v>
      </c>
      <c r="L6" s="81" t="s">
        <v>34</v>
      </c>
      <c r="M6" s="81" t="s">
        <v>34</v>
      </c>
      <c r="N6" s="81" t="s">
        <v>35</v>
      </c>
      <c r="O6" s="81" t="s">
        <v>36</v>
      </c>
      <c r="P6" s="81" t="s">
        <v>37</v>
      </c>
      <c r="Q6" s="81" t="s">
        <v>38</v>
      </c>
      <c r="R6" s="81" t="s">
        <v>39</v>
      </c>
      <c r="S6" s="81">
        <v>1.125</v>
      </c>
      <c r="T6" s="81">
        <v>10086.33</v>
      </c>
      <c r="U6" s="81">
        <v>10049.34</v>
      </c>
      <c r="V6" s="81" t="s">
        <v>60</v>
      </c>
      <c r="W6" s="81">
        <v>1010000</v>
      </c>
      <c r="X6" s="81">
        <v>0.77610000000000001</v>
      </c>
      <c r="Y6" s="81">
        <v>0.77980000000000005</v>
      </c>
      <c r="Z6" s="81" t="s">
        <v>299</v>
      </c>
    </row>
    <row r="7" spans="1:26">
      <c r="A7" s="81" t="s">
        <v>282</v>
      </c>
      <c r="B7" s="82">
        <v>42714</v>
      </c>
      <c r="C7" s="81" t="s">
        <v>11</v>
      </c>
      <c r="D7" s="82">
        <v>43809</v>
      </c>
      <c r="E7" s="81" t="s">
        <v>6</v>
      </c>
      <c r="F7" s="81" t="s">
        <v>655</v>
      </c>
      <c r="G7" s="83">
        <v>11710000</v>
      </c>
      <c r="H7" s="83">
        <v>6599000</v>
      </c>
      <c r="I7" s="81" t="s">
        <v>33</v>
      </c>
      <c r="J7" s="81">
        <v>6</v>
      </c>
      <c r="K7" s="81">
        <v>1.25</v>
      </c>
      <c r="L7" s="81" t="s">
        <v>34</v>
      </c>
      <c r="M7" s="81" t="s">
        <v>34</v>
      </c>
      <c r="N7" s="81" t="s">
        <v>35</v>
      </c>
      <c r="O7" s="81" t="s">
        <v>36</v>
      </c>
      <c r="P7" s="81" t="s">
        <v>37</v>
      </c>
      <c r="Q7" s="81" t="s">
        <v>38</v>
      </c>
      <c r="R7" s="81" t="s">
        <v>39</v>
      </c>
      <c r="S7" s="81">
        <v>1.206</v>
      </c>
      <c r="T7" s="81">
        <v>10028.11</v>
      </c>
      <c r="U7" s="81">
        <v>10001.32</v>
      </c>
      <c r="V7" s="81" t="s">
        <v>60</v>
      </c>
      <c r="W7" s="81">
        <v>1010000</v>
      </c>
      <c r="X7" s="81">
        <v>0.28310000000000002</v>
      </c>
      <c r="Y7" s="81">
        <v>0.28410000000000002</v>
      </c>
      <c r="Z7" s="81" t="s">
        <v>283</v>
      </c>
    </row>
    <row r="8" spans="1:26">
      <c r="A8" s="81" t="s">
        <v>34</v>
      </c>
      <c r="B8" s="81" t="s">
        <v>34</v>
      </c>
      <c r="D8" s="81" t="s">
        <v>34</v>
      </c>
      <c r="F8" s="81" t="s">
        <v>34</v>
      </c>
      <c r="G8" s="81" t="s">
        <v>34</v>
      </c>
      <c r="H8" s="81" t="s">
        <v>34</v>
      </c>
      <c r="I8" s="81" t="s">
        <v>34</v>
      </c>
      <c r="J8" s="81" t="s">
        <v>34</v>
      </c>
      <c r="K8" s="81">
        <v>1.5</v>
      </c>
      <c r="L8" s="81" t="s">
        <v>34</v>
      </c>
      <c r="M8" s="81" t="s">
        <v>34</v>
      </c>
      <c r="N8" s="81" t="s">
        <v>35</v>
      </c>
      <c r="O8" s="81" t="s">
        <v>34</v>
      </c>
      <c r="P8" s="81" t="s">
        <v>271</v>
      </c>
      <c r="Q8" s="81" t="s">
        <v>34</v>
      </c>
      <c r="R8" s="81" t="s">
        <v>34</v>
      </c>
      <c r="S8" s="81" t="s">
        <v>34</v>
      </c>
      <c r="T8" s="81" t="s">
        <v>34</v>
      </c>
      <c r="V8" s="81" t="s">
        <v>34</v>
      </c>
      <c r="W8" s="81" t="s">
        <v>34</v>
      </c>
      <c r="X8" s="81" t="s">
        <v>34</v>
      </c>
      <c r="Y8" s="81" t="s">
        <v>34</v>
      </c>
      <c r="Z8" s="81" t="s">
        <v>34</v>
      </c>
    </row>
    <row r="9" spans="1:26">
      <c r="A9" s="81" t="s">
        <v>529</v>
      </c>
      <c r="B9" s="82">
        <v>43718</v>
      </c>
      <c r="C9" s="81" t="s">
        <v>6</v>
      </c>
      <c r="D9" s="82">
        <v>45545</v>
      </c>
      <c r="E9" s="81" t="s">
        <v>6</v>
      </c>
      <c r="F9" s="81" t="s">
        <v>693</v>
      </c>
      <c r="G9" s="83">
        <v>1234000</v>
      </c>
      <c r="H9" s="83">
        <v>1234000</v>
      </c>
      <c r="I9" s="81" t="s">
        <v>33</v>
      </c>
      <c r="J9" s="81">
        <v>6</v>
      </c>
      <c r="K9" s="81">
        <v>1.375</v>
      </c>
      <c r="L9" s="81" t="s">
        <v>34</v>
      </c>
      <c r="M9" s="81" t="s">
        <v>34</v>
      </c>
      <c r="N9" s="81" t="s">
        <v>35</v>
      </c>
      <c r="O9" s="81" t="s">
        <v>36</v>
      </c>
      <c r="P9" s="81" t="s">
        <v>37</v>
      </c>
      <c r="Q9" s="81" t="s">
        <v>38</v>
      </c>
      <c r="R9" s="81" t="s">
        <v>39</v>
      </c>
      <c r="S9" s="81">
        <v>1.1910000000000001</v>
      </c>
      <c r="T9" s="81">
        <v>10084.64</v>
      </c>
      <c r="U9" s="81">
        <v>10084.32</v>
      </c>
      <c r="V9" s="81" t="s">
        <v>60</v>
      </c>
      <c r="W9" s="81">
        <v>1010000</v>
      </c>
      <c r="X9" s="81">
        <v>4.8590999999999998</v>
      </c>
      <c r="Y9" s="81">
        <v>4.8853999999999997</v>
      </c>
      <c r="Z9" s="81" t="s">
        <v>530</v>
      </c>
    </row>
    <row r="10" spans="1:26">
      <c r="A10" s="81" t="s">
        <v>456</v>
      </c>
      <c r="B10" s="82">
        <v>43534</v>
      </c>
      <c r="C10" s="81" t="s">
        <v>13</v>
      </c>
      <c r="D10" s="82">
        <v>45361</v>
      </c>
      <c r="E10" s="81" t="s">
        <v>13</v>
      </c>
      <c r="F10" s="81" t="s">
        <v>694</v>
      </c>
      <c r="G10" s="83">
        <v>10675000</v>
      </c>
      <c r="H10" s="83">
        <v>10675000</v>
      </c>
      <c r="I10" s="81" t="s">
        <v>33</v>
      </c>
      <c r="J10" s="81">
        <v>6</v>
      </c>
      <c r="K10" s="81">
        <v>1.875</v>
      </c>
      <c r="L10" s="81" t="s">
        <v>34</v>
      </c>
      <c r="M10" s="81" t="s">
        <v>34</v>
      </c>
      <c r="N10" s="81" t="s">
        <v>35</v>
      </c>
      <c r="O10" s="81" t="s">
        <v>36</v>
      </c>
      <c r="P10" s="81" t="s">
        <v>37</v>
      </c>
      <c r="Q10" s="81" t="s">
        <v>38</v>
      </c>
      <c r="R10" s="81" t="s">
        <v>39</v>
      </c>
      <c r="S10" s="81">
        <v>1.21</v>
      </c>
      <c r="T10" s="81">
        <v>10379.700000000001</v>
      </c>
      <c r="U10" s="81">
        <v>10292.58</v>
      </c>
      <c r="V10" s="81" t="s">
        <v>60</v>
      </c>
      <c r="W10" s="81">
        <v>1010000</v>
      </c>
      <c r="X10" s="81">
        <v>4.3113999999999999</v>
      </c>
      <c r="Y10" s="81">
        <v>4.3329000000000004</v>
      </c>
      <c r="Z10" s="81" t="s">
        <v>457</v>
      </c>
    </row>
    <row r="11" spans="1:26">
      <c r="A11" s="81" t="s">
        <v>367</v>
      </c>
      <c r="B11" s="82">
        <v>43353</v>
      </c>
      <c r="C11" s="81" t="s">
        <v>40</v>
      </c>
      <c r="D11" s="82">
        <v>45179</v>
      </c>
      <c r="E11" s="81" t="s">
        <v>13</v>
      </c>
      <c r="F11" s="81" t="s">
        <v>695</v>
      </c>
      <c r="G11" s="83">
        <v>7342000</v>
      </c>
      <c r="H11" s="83">
        <v>7342000</v>
      </c>
      <c r="I11" s="81" t="s">
        <v>33</v>
      </c>
      <c r="J11" s="81">
        <v>6</v>
      </c>
      <c r="K11" s="81">
        <v>2.25</v>
      </c>
      <c r="L11" s="81" t="s">
        <v>34</v>
      </c>
      <c r="M11" s="81" t="s">
        <v>34</v>
      </c>
      <c r="N11" s="81" t="s">
        <v>35</v>
      </c>
      <c r="O11" s="81" t="s">
        <v>36</v>
      </c>
      <c r="P11" s="81" t="s">
        <v>37</v>
      </c>
      <c r="Q11" s="81" t="s">
        <v>38</v>
      </c>
      <c r="R11" s="81" t="s">
        <v>39</v>
      </c>
      <c r="S11" s="81">
        <v>1.2170000000000001</v>
      </c>
      <c r="T11" s="81">
        <v>10510.09</v>
      </c>
      <c r="U11" s="81">
        <v>10405.540000000001</v>
      </c>
      <c r="V11" s="81" t="s">
        <v>60</v>
      </c>
      <c r="W11" s="81">
        <v>1010000</v>
      </c>
      <c r="X11" s="81">
        <v>3.8237000000000001</v>
      </c>
      <c r="Y11" s="81">
        <v>3.8454000000000002</v>
      </c>
      <c r="Z11" s="81" t="s">
        <v>368</v>
      </c>
    </row>
    <row r="12" spans="1:26">
      <c r="A12" s="81" t="s">
        <v>335</v>
      </c>
      <c r="B12" s="82">
        <v>43169</v>
      </c>
      <c r="C12" s="81" t="s">
        <v>11</v>
      </c>
      <c r="D12" s="82">
        <v>44995</v>
      </c>
      <c r="E12" s="81" t="s">
        <v>10</v>
      </c>
      <c r="F12" s="81" t="s">
        <v>696</v>
      </c>
      <c r="G12" s="83">
        <v>12566000</v>
      </c>
      <c r="H12" s="83">
        <v>12566000</v>
      </c>
      <c r="I12" s="81" t="s">
        <v>33</v>
      </c>
      <c r="J12" s="81">
        <v>6</v>
      </c>
      <c r="K12" s="81">
        <v>2.375</v>
      </c>
      <c r="L12" s="81" t="s">
        <v>34</v>
      </c>
      <c r="M12" s="81" t="s">
        <v>34</v>
      </c>
      <c r="N12" s="81" t="s">
        <v>35</v>
      </c>
      <c r="O12" s="81" t="s">
        <v>36</v>
      </c>
      <c r="P12" s="81" t="s">
        <v>37</v>
      </c>
      <c r="Q12" s="81" t="s">
        <v>38</v>
      </c>
      <c r="R12" s="81" t="s">
        <v>39</v>
      </c>
      <c r="S12" s="81">
        <v>1.216</v>
      </c>
      <c r="T12" s="81">
        <v>10510.07</v>
      </c>
      <c r="U12" s="81">
        <v>10400.19</v>
      </c>
      <c r="V12" s="81" t="s">
        <v>60</v>
      </c>
      <c r="W12" s="81">
        <v>1010000</v>
      </c>
      <c r="X12" s="81">
        <v>3.3597999999999999</v>
      </c>
      <c r="Y12" s="81">
        <v>3.3754</v>
      </c>
      <c r="Z12" s="81" t="s">
        <v>336</v>
      </c>
    </row>
    <row r="13" spans="1:26">
      <c r="A13" s="81" t="s">
        <v>311</v>
      </c>
      <c r="B13" s="82">
        <v>42988</v>
      </c>
      <c r="C13" s="81" t="s">
        <v>13</v>
      </c>
      <c r="D13" s="82">
        <v>44814</v>
      </c>
      <c r="E13" s="81" t="s">
        <v>11</v>
      </c>
      <c r="F13" s="81" t="s">
        <v>697</v>
      </c>
      <c r="G13" s="83">
        <v>9626000</v>
      </c>
      <c r="H13" s="83">
        <v>9626000</v>
      </c>
      <c r="I13" s="81" t="s">
        <v>33</v>
      </c>
      <c r="J13" s="81">
        <v>6</v>
      </c>
      <c r="K13" s="81">
        <v>2</v>
      </c>
      <c r="L13" s="81" t="s">
        <v>34</v>
      </c>
      <c r="M13" s="81" t="s">
        <v>34</v>
      </c>
      <c r="N13" s="81" t="s">
        <v>35</v>
      </c>
      <c r="O13" s="81" t="s">
        <v>36</v>
      </c>
      <c r="P13" s="81" t="s">
        <v>37</v>
      </c>
      <c r="Q13" s="81" t="s">
        <v>38</v>
      </c>
      <c r="R13" s="81" t="s">
        <v>39</v>
      </c>
      <c r="S13" s="81">
        <v>1.214</v>
      </c>
      <c r="T13" s="81">
        <v>10326.44</v>
      </c>
      <c r="U13" s="81">
        <v>10233.209999999999</v>
      </c>
      <c r="V13" s="81" t="s">
        <v>60</v>
      </c>
      <c r="W13" s="81">
        <v>1010000</v>
      </c>
      <c r="X13" s="81">
        <v>2.9178000000000002</v>
      </c>
      <c r="Y13" s="81">
        <v>2.9348000000000001</v>
      </c>
      <c r="Z13" s="81" t="s">
        <v>310</v>
      </c>
    </row>
    <row r="14" spans="1:26">
      <c r="A14" s="81" t="s">
        <v>288</v>
      </c>
      <c r="B14" s="82">
        <v>42804</v>
      </c>
      <c r="C14" s="81" t="s">
        <v>10</v>
      </c>
      <c r="D14" s="82">
        <v>44630</v>
      </c>
      <c r="E14" s="81" t="s">
        <v>4</v>
      </c>
      <c r="F14" s="81" t="s">
        <v>698</v>
      </c>
      <c r="G14" s="83">
        <v>13790000</v>
      </c>
      <c r="H14" s="83">
        <v>13346000</v>
      </c>
      <c r="I14" s="81" t="s">
        <v>33</v>
      </c>
      <c r="J14" s="81">
        <v>6</v>
      </c>
      <c r="K14" s="81">
        <v>1.875</v>
      </c>
      <c r="L14" s="81" t="s">
        <v>34</v>
      </c>
      <c r="M14" s="81" t="s">
        <v>34</v>
      </c>
      <c r="N14" s="81" t="s">
        <v>35</v>
      </c>
      <c r="O14" s="81" t="s">
        <v>36</v>
      </c>
      <c r="P14" s="81" t="s">
        <v>37</v>
      </c>
      <c r="Q14" s="81" t="s">
        <v>38</v>
      </c>
      <c r="R14" s="81" t="s">
        <v>39</v>
      </c>
      <c r="S14" s="81">
        <v>1.21</v>
      </c>
      <c r="T14" s="81">
        <v>10252.64</v>
      </c>
      <c r="U14" s="81">
        <v>10165.52</v>
      </c>
      <c r="V14" s="81" t="s">
        <v>60</v>
      </c>
      <c r="W14" s="81">
        <v>1010000</v>
      </c>
      <c r="X14" s="81">
        <v>2.4531000000000001</v>
      </c>
      <c r="Y14" s="81">
        <v>2.4636</v>
      </c>
      <c r="Z14" s="81" t="s">
        <v>289</v>
      </c>
    </row>
    <row r="15" spans="1:26">
      <c r="A15" s="81" t="s">
        <v>275</v>
      </c>
      <c r="B15" s="82">
        <v>42623</v>
      </c>
      <c r="C15" s="81" t="s">
        <v>11</v>
      </c>
      <c r="D15" s="82">
        <v>44449</v>
      </c>
      <c r="E15" s="81" t="s">
        <v>10</v>
      </c>
      <c r="F15" s="81" t="s">
        <v>699</v>
      </c>
      <c r="G15" s="83">
        <v>10077000</v>
      </c>
      <c r="H15" s="83">
        <v>9553000</v>
      </c>
      <c r="I15" s="81" t="s">
        <v>33</v>
      </c>
      <c r="J15" s="81">
        <v>6</v>
      </c>
      <c r="K15" s="81">
        <v>1.375</v>
      </c>
      <c r="L15" s="81" t="s">
        <v>34</v>
      </c>
      <c r="M15" s="81" t="s">
        <v>34</v>
      </c>
      <c r="N15" s="81" t="s">
        <v>35</v>
      </c>
      <c r="O15" s="81" t="s">
        <v>36</v>
      </c>
      <c r="P15" s="81" t="s">
        <v>37</v>
      </c>
      <c r="Q15" s="81" t="s">
        <v>38</v>
      </c>
      <c r="R15" s="81" t="s">
        <v>39</v>
      </c>
      <c r="S15" s="81">
        <v>1.2050000000000001</v>
      </c>
      <c r="T15" s="81">
        <v>10097.94</v>
      </c>
      <c r="U15" s="81">
        <v>10034.049999999999</v>
      </c>
      <c r="V15" s="81" t="s">
        <v>60</v>
      </c>
      <c r="W15" s="81">
        <v>1010000</v>
      </c>
      <c r="X15" s="81">
        <v>1.9899</v>
      </c>
      <c r="Y15" s="81">
        <v>2.0017</v>
      </c>
      <c r="Z15" s="81" t="s">
        <v>276</v>
      </c>
    </row>
    <row r="16" spans="1:26">
      <c r="A16" s="81" t="s">
        <v>202</v>
      </c>
      <c r="B16" s="82">
        <v>42439</v>
      </c>
      <c r="C16" s="81" t="s">
        <v>4</v>
      </c>
      <c r="D16" s="82">
        <v>44265</v>
      </c>
      <c r="E16" s="81" t="s">
        <v>5</v>
      </c>
      <c r="F16" s="81" t="s">
        <v>700</v>
      </c>
      <c r="G16" s="83">
        <v>14366000</v>
      </c>
      <c r="H16" s="83">
        <v>12879000</v>
      </c>
      <c r="I16" s="81" t="s">
        <v>33</v>
      </c>
      <c r="J16" s="81">
        <v>6</v>
      </c>
      <c r="K16" s="81">
        <v>2</v>
      </c>
      <c r="L16" s="81" t="s">
        <v>34</v>
      </c>
      <c r="M16" s="81" t="s">
        <v>34</v>
      </c>
      <c r="N16" s="81" t="s">
        <v>35</v>
      </c>
      <c r="O16" s="81" t="s">
        <v>36</v>
      </c>
      <c r="P16" s="81" t="s">
        <v>37</v>
      </c>
      <c r="Q16" s="81" t="s">
        <v>38</v>
      </c>
      <c r="R16" s="81" t="s">
        <v>39</v>
      </c>
      <c r="S16" s="81">
        <v>1.159</v>
      </c>
      <c r="T16" s="81">
        <v>10220.51</v>
      </c>
      <c r="U16" s="81">
        <v>10127.43</v>
      </c>
      <c r="V16" s="81" t="s">
        <v>60</v>
      </c>
      <c r="W16" s="81">
        <v>1010000</v>
      </c>
      <c r="X16" s="81">
        <v>1.4977</v>
      </c>
      <c r="Y16" s="81">
        <v>1.5023</v>
      </c>
      <c r="Z16" s="81" t="s">
        <v>203</v>
      </c>
    </row>
    <row r="17" spans="1:26">
      <c r="A17" s="81" t="s">
        <v>204</v>
      </c>
      <c r="B17" s="82">
        <v>42257</v>
      </c>
      <c r="C17" s="81" t="s">
        <v>4</v>
      </c>
      <c r="D17" s="82">
        <v>44084</v>
      </c>
      <c r="E17" s="81" t="s">
        <v>4</v>
      </c>
      <c r="F17" s="81" t="s">
        <v>701</v>
      </c>
      <c r="G17" s="83">
        <v>15238000</v>
      </c>
      <c r="H17" s="83">
        <v>12033000</v>
      </c>
      <c r="I17" s="81" t="s">
        <v>33</v>
      </c>
      <c r="J17" s="81">
        <v>6</v>
      </c>
      <c r="K17" s="81">
        <v>2</v>
      </c>
      <c r="L17" s="81" t="s">
        <v>34</v>
      </c>
      <c r="M17" s="81" t="s">
        <v>34</v>
      </c>
      <c r="N17" s="81" t="s">
        <v>35</v>
      </c>
      <c r="O17" s="81" t="s">
        <v>36</v>
      </c>
      <c r="P17" s="81" t="s">
        <v>37</v>
      </c>
      <c r="Q17" s="81" t="s">
        <v>38</v>
      </c>
      <c r="R17" s="81" t="s">
        <v>39</v>
      </c>
      <c r="S17" s="81">
        <v>1.149</v>
      </c>
      <c r="T17" s="81">
        <v>10180.16</v>
      </c>
      <c r="U17" s="81">
        <v>10087.200000000001</v>
      </c>
      <c r="V17" s="81" t="s">
        <v>60</v>
      </c>
      <c r="W17" s="81">
        <v>1010000</v>
      </c>
      <c r="X17" s="81">
        <v>1.0149999999999999</v>
      </c>
      <c r="Y17" s="81">
        <v>1.0207999999999999</v>
      </c>
      <c r="Z17" s="81" t="s">
        <v>205</v>
      </c>
    </row>
    <row r="18" spans="1:26">
      <c r="A18" s="81" t="s">
        <v>206</v>
      </c>
      <c r="B18" s="82">
        <v>42073</v>
      </c>
      <c r="C18" s="81" t="s">
        <v>6</v>
      </c>
      <c r="D18" s="82">
        <v>43900</v>
      </c>
      <c r="E18" s="81" t="s">
        <v>6</v>
      </c>
      <c r="F18" s="81" t="s">
        <v>658</v>
      </c>
      <c r="G18" s="83">
        <v>12584000</v>
      </c>
      <c r="H18" s="83">
        <v>7717000</v>
      </c>
      <c r="I18" s="81" t="s">
        <v>33</v>
      </c>
      <c r="J18" s="81">
        <v>6</v>
      </c>
      <c r="K18" s="81">
        <v>2</v>
      </c>
      <c r="L18" s="81" t="s">
        <v>34</v>
      </c>
      <c r="M18" s="81" t="s">
        <v>34</v>
      </c>
      <c r="N18" s="81" t="s">
        <v>35</v>
      </c>
      <c r="O18" s="81" t="s">
        <v>36</v>
      </c>
      <c r="P18" s="81" t="s">
        <v>37</v>
      </c>
      <c r="Q18" s="81" t="s">
        <v>38</v>
      </c>
      <c r="R18" s="81" t="s">
        <v>39</v>
      </c>
      <c r="S18" s="81">
        <v>1.1579999999999999</v>
      </c>
      <c r="T18" s="81">
        <v>10137.67</v>
      </c>
      <c r="U18" s="81">
        <v>10044.83</v>
      </c>
      <c r="V18" s="81" t="s">
        <v>60</v>
      </c>
      <c r="W18" s="81">
        <v>1010000</v>
      </c>
      <c r="X18" s="81">
        <v>0.52749999999999997</v>
      </c>
      <c r="Y18" s="81">
        <v>0.52780000000000005</v>
      </c>
      <c r="Z18" s="81" t="s">
        <v>207</v>
      </c>
    </row>
    <row r="19" spans="1:26">
      <c r="A19" s="81" t="s">
        <v>208</v>
      </c>
      <c r="B19" s="82">
        <v>41892</v>
      </c>
      <c r="C19" s="81" t="s">
        <v>5</v>
      </c>
      <c r="D19" s="82">
        <v>43718</v>
      </c>
      <c r="E19" s="81" t="s">
        <v>6</v>
      </c>
      <c r="F19" s="81" t="s">
        <v>664</v>
      </c>
      <c r="G19" s="83">
        <v>11564000</v>
      </c>
      <c r="H19" s="83">
        <v>8734000</v>
      </c>
      <c r="I19" s="81" t="s">
        <v>33</v>
      </c>
      <c r="J19" s="81">
        <v>6</v>
      </c>
      <c r="K19" s="81">
        <v>2.75</v>
      </c>
      <c r="L19" s="81" t="s">
        <v>34</v>
      </c>
      <c r="M19" s="81" t="s">
        <v>34</v>
      </c>
      <c r="N19" s="81" t="s">
        <v>35</v>
      </c>
      <c r="O19" s="81" t="s">
        <v>36</v>
      </c>
      <c r="P19" s="81" t="s">
        <v>37</v>
      </c>
      <c r="Q19" s="81" t="s">
        <v>38</v>
      </c>
      <c r="R19" s="81" t="s">
        <v>39</v>
      </c>
      <c r="S19" s="81">
        <v>1.2490000000000001</v>
      </c>
      <c r="T19" s="81">
        <v>10133.02</v>
      </c>
      <c r="U19" s="81">
        <v>10005.24</v>
      </c>
      <c r="V19" s="81" t="s">
        <v>60</v>
      </c>
      <c r="W19" s="81">
        <v>1010000</v>
      </c>
      <c r="X19" s="81">
        <v>3.5299999999999998E-2</v>
      </c>
      <c r="Y19" s="81">
        <v>3.5499999999999997E-2</v>
      </c>
      <c r="Z19" s="81" t="s">
        <v>209</v>
      </c>
    </row>
    <row r="20" spans="1:26">
      <c r="A20" s="81" t="s">
        <v>34</v>
      </c>
      <c r="B20" s="81" t="s">
        <v>34</v>
      </c>
      <c r="D20" s="81" t="s">
        <v>34</v>
      </c>
      <c r="F20" s="81" t="s">
        <v>34</v>
      </c>
      <c r="G20" s="81" t="s">
        <v>34</v>
      </c>
      <c r="H20" s="81" t="s">
        <v>34</v>
      </c>
      <c r="I20" s="81" t="s">
        <v>34</v>
      </c>
      <c r="J20" s="81" t="s">
        <v>34</v>
      </c>
      <c r="K20" s="81">
        <v>3.125</v>
      </c>
      <c r="L20" s="81" t="s">
        <v>34</v>
      </c>
      <c r="M20" s="81" t="s">
        <v>34</v>
      </c>
      <c r="N20" s="81" t="s">
        <v>35</v>
      </c>
      <c r="O20" s="81" t="s">
        <v>34</v>
      </c>
      <c r="P20" s="81" t="s">
        <v>271</v>
      </c>
      <c r="Q20" s="81" t="s">
        <v>34</v>
      </c>
      <c r="R20" s="81" t="s">
        <v>34</v>
      </c>
      <c r="S20" s="81" t="s">
        <v>34</v>
      </c>
      <c r="T20" s="81" t="s">
        <v>34</v>
      </c>
      <c r="V20" s="81" t="s">
        <v>34</v>
      </c>
      <c r="W20" s="81" t="s">
        <v>34</v>
      </c>
      <c r="X20" s="81" t="s">
        <v>34</v>
      </c>
      <c r="Y20" s="81" t="s">
        <v>34</v>
      </c>
      <c r="Z20" s="81" t="s">
        <v>34</v>
      </c>
    </row>
    <row r="21" spans="1:26">
      <c r="A21" s="81" t="s">
        <v>479</v>
      </c>
      <c r="B21" s="82">
        <v>43626</v>
      </c>
      <c r="C21" s="81" t="s">
        <v>40</v>
      </c>
      <c r="D21" s="82">
        <v>47279</v>
      </c>
      <c r="E21" s="81" t="s">
        <v>13</v>
      </c>
      <c r="F21" s="81" t="s">
        <v>702</v>
      </c>
      <c r="G21" s="83">
        <v>8343000</v>
      </c>
      <c r="H21" s="83">
        <v>8343000</v>
      </c>
      <c r="I21" s="81" t="s">
        <v>33</v>
      </c>
      <c r="J21" s="81">
        <v>6</v>
      </c>
      <c r="K21" s="81">
        <v>1.875</v>
      </c>
      <c r="L21" s="81" t="s">
        <v>34</v>
      </c>
      <c r="M21" s="81" t="s">
        <v>34</v>
      </c>
      <c r="N21" s="81" t="s">
        <v>35</v>
      </c>
      <c r="O21" s="81" t="s">
        <v>36</v>
      </c>
      <c r="P21" s="81" t="s">
        <v>37</v>
      </c>
      <c r="Q21" s="81" t="s">
        <v>38</v>
      </c>
      <c r="R21" s="81" t="s">
        <v>39</v>
      </c>
      <c r="S21" s="81">
        <v>1.25</v>
      </c>
      <c r="T21" s="81">
        <v>10614.25</v>
      </c>
      <c r="U21" s="81">
        <v>10573.78</v>
      </c>
      <c r="V21" s="81" t="s">
        <v>60</v>
      </c>
      <c r="W21" s="81">
        <v>1010000</v>
      </c>
      <c r="X21" s="81">
        <v>8.9389000000000003</v>
      </c>
      <c r="Y21" s="81">
        <v>8.9779</v>
      </c>
      <c r="Z21" s="81" t="s">
        <v>480</v>
      </c>
    </row>
    <row r="22" spans="1:26">
      <c r="A22" s="81" t="s">
        <v>435</v>
      </c>
      <c r="B22" s="82">
        <v>43444</v>
      </c>
      <c r="C22" s="81" t="s">
        <v>40</v>
      </c>
      <c r="D22" s="82">
        <v>47097</v>
      </c>
      <c r="E22" s="81" t="s">
        <v>13</v>
      </c>
      <c r="F22" s="81" t="s">
        <v>703</v>
      </c>
      <c r="G22" s="83">
        <v>11424000</v>
      </c>
      <c r="H22" s="83">
        <v>11424000</v>
      </c>
      <c r="I22" s="81" t="s">
        <v>33</v>
      </c>
      <c r="J22" s="81">
        <v>6</v>
      </c>
      <c r="K22" s="81">
        <v>2.375</v>
      </c>
      <c r="L22" s="81" t="s">
        <v>34</v>
      </c>
      <c r="M22" s="81" t="s">
        <v>34</v>
      </c>
      <c r="N22" s="81" t="s">
        <v>35</v>
      </c>
      <c r="O22" s="81" t="s">
        <v>36</v>
      </c>
      <c r="P22" s="81" t="s">
        <v>37</v>
      </c>
      <c r="Q22" s="81" t="s">
        <v>38</v>
      </c>
      <c r="R22" s="81" t="s">
        <v>39</v>
      </c>
      <c r="S22" s="81">
        <v>1.26</v>
      </c>
      <c r="T22" s="81">
        <v>11025.15</v>
      </c>
      <c r="U22" s="81">
        <v>10973.89</v>
      </c>
      <c r="V22" s="81" t="s">
        <v>60</v>
      </c>
      <c r="W22" s="81">
        <v>1010000</v>
      </c>
      <c r="X22" s="81">
        <v>8.3595000000000006</v>
      </c>
      <c r="Y22" s="81">
        <v>8.3988999999999994</v>
      </c>
      <c r="Z22" s="81" t="s">
        <v>434</v>
      </c>
    </row>
    <row r="23" spans="1:26">
      <c r="A23" s="81" t="s">
        <v>354</v>
      </c>
      <c r="B23" s="82">
        <v>43261</v>
      </c>
      <c r="C23" s="81" t="s">
        <v>13</v>
      </c>
      <c r="D23" s="82">
        <v>46914</v>
      </c>
      <c r="E23" s="81" t="s">
        <v>11</v>
      </c>
      <c r="F23" s="81" t="s">
        <v>704</v>
      </c>
      <c r="G23" s="83">
        <v>11437000</v>
      </c>
      <c r="H23" s="83">
        <v>11437000</v>
      </c>
      <c r="I23" s="81" t="s">
        <v>33</v>
      </c>
      <c r="J23" s="81">
        <v>6</v>
      </c>
      <c r="K23" s="81">
        <v>2.625</v>
      </c>
      <c r="L23" s="81" t="s">
        <v>34</v>
      </c>
      <c r="M23" s="81" t="s">
        <v>34</v>
      </c>
      <c r="N23" s="81" t="s">
        <v>35</v>
      </c>
      <c r="O23" s="81" t="s">
        <v>36</v>
      </c>
      <c r="P23" s="81" t="s">
        <v>37</v>
      </c>
      <c r="Q23" s="81" t="s">
        <v>38</v>
      </c>
      <c r="R23" s="81" t="s">
        <v>39</v>
      </c>
      <c r="S23" s="81">
        <v>1.26</v>
      </c>
      <c r="T23" s="81">
        <v>11188.2</v>
      </c>
      <c r="U23" s="81">
        <v>11131.55</v>
      </c>
      <c r="V23" s="81" t="s">
        <v>60</v>
      </c>
      <c r="W23" s="81">
        <v>1010000</v>
      </c>
      <c r="X23" s="81">
        <v>7.8814000000000002</v>
      </c>
      <c r="Y23" s="81">
        <v>7.9191000000000003</v>
      </c>
      <c r="Z23" s="81" t="s">
        <v>355</v>
      </c>
    </row>
    <row r="24" spans="1:26">
      <c r="A24" s="81" t="s">
        <v>324</v>
      </c>
      <c r="B24" s="82">
        <v>43079</v>
      </c>
      <c r="C24" s="81" t="s">
        <v>13</v>
      </c>
      <c r="D24" s="82">
        <v>46731</v>
      </c>
      <c r="E24" s="81" t="s">
        <v>10</v>
      </c>
      <c r="F24" s="81" t="s">
        <v>705</v>
      </c>
      <c r="G24" s="83">
        <v>11903000</v>
      </c>
      <c r="H24" s="83">
        <v>11903000</v>
      </c>
      <c r="I24" s="81" t="s">
        <v>33</v>
      </c>
      <c r="J24" s="81">
        <v>6</v>
      </c>
      <c r="K24" s="81">
        <v>2.375</v>
      </c>
      <c r="L24" s="81" t="s">
        <v>34</v>
      </c>
      <c r="M24" s="81" t="s">
        <v>34</v>
      </c>
      <c r="N24" s="81" t="s">
        <v>35</v>
      </c>
      <c r="O24" s="81" t="s">
        <v>36</v>
      </c>
      <c r="P24" s="81" t="s">
        <v>37</v>
      </c>
      <c r="Q24" s="81" t="s">
        <v>38</v>
      </c>
      <c r="R24" s="81" t="s">
        <v>39</v>
      </c>
      <c r="S24" s="81">
        <v>1.256</v>
      </c>
      <c r="T24" s="81">
        <v>10928.62</v>
      </c>
      <c r="U24" s="81">
        <v>10876.82</v>
      </c>
      <c r="V24" s="81" t="s">
        <v>60</v>
      </c>
      <c r="W24" s="81">
        <v>1010000</v>
      </c>
      <c r="X24" s="81">
        <v>7.5335000000000001</v>
      </c>
      <c r="Y24" s="81">
        <v>7.5704000000000002</v>
      </c>
      <c r="Z24" s="81" t="s">
        <v>325</v>
      </c>
    </row>
    <row r="25" spans="1:26">
      <c r="A25" s="81" t="s">
        <v>301</v>
      </c>
      <c r="B25" s="82">
        <v>42896</v>
      </c>
      <c r="C25" s="81" t="s">
        <v>11</v>
      </c>
      <c r="D25" s="82">
        <v>46548</v>
      </c>
      <c r="E25" s="81" t="s">
        <v>4</v>
      </c>
      <c r="F25" s="81" t="s">
        <v>706</v>
      </c>
      <c r="G25" s="83">
        <v>12572000</v>
      </c>
      <c r="H25" s="83">
        <v>12572000</v>
      </c>
      <c r="I25" s="81" t="s">
        <v>33</v>
      </c>
      <c r="J25" s="81">
        <v>6</v>
      </c>
      <c r="K25" s="81">
        <v>2.125</v>
      </c>
      <c r="L25" s="81" t="s">
        <v>34</v>
      </c>
      <c r="M25" s="81" t="s">
        <v>34</v>
      </c>
      <c r="N25" s="81" t="s">
        <v>35</v>
      </c>
      <c r="O25" s="81" t="s">
        <v>36</v>
      </c>
      <c r="P25" s="81" t="s">
        <v>37</v>
      </c>
      <c r="Q25" s="81" t="s">
        <v>38</v>
      </c>
      <c r="R25" s="81" t="s">
        <v>39</v>
      </c>
      <c r="S25" s="81">
        <v>1.2490000000000001</v>
      </c>
      <c r="T25" s="81">
        <v>10693.08</v>
      </c>
      <c r="U25" s="81">
        <v>10649.27</v>
      </c>
      <c r="V25" s="81" t="s">
        <v>60</v>
      </c>
      <c r="W25" s="81">
        <v>1010000</v>
      </c>
      <c r="X25" s="81">
        <v>7.1711999999999998</v>
      </c>
      <c r="Y25" s="81">
        <v>7.2064000000000004</v>
      </c>
      <c r="Z25" s="81" t="s">
        <v>300</v>
      </c>
    </row>
    <row r="26" spans="1:26">
      <c r="A26" s="81" t="s">
        <v>284</v>
      </c>
      <c r="B26" s="82">
        <v>42714</v>
      </c>
      <c r="C26" s="81" t="s">
        <v>11</v>
      </c>
      <c r="D26" s="82">
        <v>46366</v>
      </c>
      <c r="E26" s="81" t="s">
        <v>4</v>
      </c>
      <c r="F26" s="81" t="s">
        <v>707</v>
      </c>
      <c r="G26" s="83">
        <v>13063000</v>
      </c>
      <c r="H26" s="83">
        <v>13063000</v>
      </c>
      <c r="I26" s="81" t="s">
        <v>33</v>
      </c>
      <c r="J26" s="81">
        <v>6</v>
      </c>
      <c r="K26" s="81">
        <v>1.5</v>
      </c>
      <c r="L26" s="81" t="s">
        <v>34</v>
      </c>
      <c r="M26" s="81" t="s">
        <v>34</v>
      </c>
      <c r="N26" s="81" t="s">
        <v>35</v>
      </c>
      <c r="O26" s="81" t="s">
        <v>36</v>
      </c>
      <c r="P26" s="81" t="s">
        <v>37</v>
      </c>
      <c r="Q26" s="81" t="s">
        <v>38</v>
      </c>
      <c r="R26" s="81" t="s">
        <v>39</v>
      </c>
      <c r="S26" s="81">
        <v>1.244</v>
      </c>
      <c r="T26" s="81">
        <v>10209.540000000001</v>
      </c>
      <c r="U26" s="81">
        <v>10176.94</v>
      </c>
      <c r="V26" s="81" t="s">
        <v>60</v>
      </c>
      <c r="W26" s="81">
        <v>1010000</v>
      </c>
      <c r="X26" s="81">
        <v>6.875</v>
      </c>
      <c r="Y26" s="81">
        <v>6.9105999999999996</v>
      </c>
      <c r="Z26" s="81" t="s">
        <v>285</v>
      </c>
    </row>
    <row r="27" spans="1:26">
      <c r="A27" s="81" t="s">
        <v>268</v>
      </c>
      <c r="B27" s="82">
        <v>42531</v>
      </c>
      <c r="C27" s="81" t="s">
        <v>10</v>
      </c>
      <c r="D27" s="82">
        <v>46183</v>
      </c>
      <c r="E27" s="81" t="s">
        <v>5</v>
      </c>
      <c r="F27" s="81" t="s">
        <v>708</v>
      </c>
      <c r="G27" s="83">
        <v>12250000</v>
      </c>
      <c r="H27" s="83">
        <v>12212000</v>
      </c>
      <c r="I27" s="81" t="s">
        <v>33</v>
      </c>
      <c r="J27" s="81">
        <v>6</v>
      </c>
      <c r="K27" s="81">
        <v>1.875</v>
      </c>
      <c r="L27" s="81" t="s">
        <v>34</v>
      </c>
      <c r="M27" s="81" t="s">
        <v>34</v>
      </c>
      <c r="N27" s="81" t="s">
        <v>35</v>
      </c>
      <c r="O27" s="81" t="s">
        <v>36</v>
      </c>
      <c r="P27" s="81" t="s">
        <v>37</v>
      </c>
      <c r="Q27" s="81" t="s">
        <v>38</v>
      </c>
      <c r="R27" s="81" t="s">
        <v>39</v>
      </c>
      <c r="S27" s="81">
        <v>1.2430000000000001</v>
      </c>
      <c r="T27" s="81">
        <v>10450.08</v>
      </c>
      <c r="U27" s="81">
        <v>10408.51</v>
      </c>
      <c r="V27" s="81" t="s">
        <v>60</v>
      </c>
      <c r="W27" s="81">
        <v>1010000</v>
      </c>
      <c r="X27" s="81">
        <v>6.3543000000000003</v>
      </c>
      <c r="Y27" s="81">
        <v>6.3867000000000003</v>
      </c>
      <c r="Z27" s="81" t="s">
        <v>269</v>
      </c>
    </row>
    <row r="28" spans="1:26">
      <c r="A28" s="81" t="s">
        <v>210</v>
      </c>
      <c r="B28" s="82">
        <v>42348</v>
      </c>
      <c r="C28" s="81" t="s">
        <v>4</v>
      </c>
      <c r="D28" s="82">
        <v>46001</v>
      </c>
      <c r="E28" s="81" t="s">
        <v>5</v>
      </c>
      <c r="F28" s="81" t="s">
        <v>709</v>
      </c>
      <c r="G28" s="83">
        <v>13030012</v>
      </c>
      <c r="H28" s="83">
        <v>12790012</v>
      </c>
      <c r="I28" s="81" t="s">
        <v>33</v>
      </c>
      <c r="J28" s="81">
        <v>6</v>
      </c>
      <c r="K28" s="81">
        <v>2.25</v>
      </c>
      <c r="L28" s="81" t="s">
        <v>34</v>
      </c>
      <c r="M28" s="81" t="s">
        <v>34</v>
      </c>
      <c r="N28" s="81" t="s">
        <v>35</v>
      </c>
      <c r="O28" s="81" t="s">
        <v>36</v>
      </c>
      <c r="P28" s="81" t="s">
        <v>37</v>
      </c>
      <c r="Q28" s="81" t="s">
        <v>38</v>
      </c>
      <c r="R28" s="81" t="s">
        <v>39</v>
      </c>
      <c r="S28" s="81">
        <v>1.2350000000000001</v>
      </c>
      <c r="T28" s="81">
        <v>10659.91</v>
      </c>
      <c r="U28" s="81">
        <v>10611.77</v>
      </c>
      <c r="V28" s="81" t="s">
        <v>60</v>
      </c>
      <c r="W28" s="81">
        <v>1010000</v>
      </c>
      <c r="X28" s="81">
        <v>5.8522999999999996</v>
      </c>
      <c r="Y28" s="81">
        <v>5.8837999999999999</v>
      </c>
      <c r="Z28" s="81" t="s">
        <v>211</v>
      </c>
    </row>
    <row r="29" spans="1:26">
      <c r="A29" s="81" t="s">
        <v>212</v>
      </c>
      <c r="B29" s="82">
        <v>42165</v>
      </c>
      <c r="C29" s="81" t="s">
        <v>5</v>
      </c>
      <c r="D29" s="82">
        <v>45818</v>
      </c>
      <c r="E29" s="81" t="s">
        <v>6</v>
      </c>
      <c r="F29" s="81" t="s">
        <v>710</v>
      </c>
      <c r="G29" s="83">
        <v>15232000</v>
      </c>
      <c r="H29" s="83">
        <v>15028000</v>
      </c>
      <c r="I29" s="81" t="s">
        <v>33</v>
      </c>
      <c r="J29" s="81">
        <v>6</v>
      </c>
      <c r="K29" s="81">
        <v>2.25</v>
      </c>
      <c r="L29" s="81" t="s">
        <v>34</v>
      </c>
      <c r="M29" s="81" t="s">
        <v>34</v>
      </c>
      <c r="N29" s="81" t="s">
        <v>35</v>
      </c>
      <c r="O29" s="81" t="s">
        <v>36</v>
      </c>
      <c r="P29" s="81" t="s">
        <v>37</v>
      </c>
      <c r="Q29" s="81" t="s">
        <v>38</v>
      </c>
      <c r="R29" s="81" t="s">
        <v>39</v>
      </c>
      <c r="S29" s="81">
        <v>1.23</v>
      </c>
      <c r="T29" s="81">
        <v>10615.84</v>
      </c>
      <c r="U29" s="81">
        <v>10567.67</v>
      </c>
      <c r="V29" s="81" t="s">
        <v>60</v>
      </c>
      <c r="W29" s="81">
        <v>1010000</v>
      </c>
      <c r="X29" s="81">
        <v>5.4138000000000002</v>
      </c>
      <c r="Y29" s="81">
        <v>5.4420999999999999</v>
      </c>
      <c r="Z29" s="81" t="s">
        <v>213</v>
      </c>
    </row>
    <row r="30" spans="1:26">
      <c r="A30" s="81" t="s">
        <v>214</v>
      </c>
      <c r="B30" s="82">
        <v>41892</v>
      </c>
      <c r="C30" s="81" t="s">
        <v>5</v>
      </c>
      <c r="D30" s="82">
        <v>45545</v>
      </c>
      <c r="E30" s="81" t="s">
        <v>6</v>
      </c>
      <c r="F30" s="81" t="s">
        <v>693</v>
      </c>
      <c r="G30" s="83">
        <v>16621030</v>
      </c>
      <c r="H30" s="83">
        <v>16366030</v>
      </c>
      <c r="I30" s="81" t="s">
        <v>33</v>
      </c>
      <c r="J30" s="81">
        <v>6</v>
      </c>
      <c r="K30" s="81">
        <v>3</v>
      </c>
      <c r="L30" s="81" t="s">
        <v>34</v>
      </c>
      <c r="M30" s="81" t="s">
        <v>34</v>
      </c>
      <c r="N30" s="81" t="s">
        <v>35</v>
      </c>
      <c r="O30" s="81" t="s">
        <v>36</v>
      </c>
      <c r="P30" s="81" t="s">
        <v>37</v>
      </c>
      <c r="Q30" s="81" t="s">
        <v>38</v>
      </c>
      <c r="R30" s="81" t="s">
        <v>39</v>
      </c>
      <c r="S30" s="81">
        <v>1.2250000000000001</v>
      </c>
      <c r="T30" s="81">
        <v>11003.21</v>
      </c>
      <c r="U30" s="81">
        <v>10866.71</v>
      </c>
      <c r="V30" s="81" t="s">
        <v>60</v>
      </c>
      <c r="W30" s="81">
        <v>1010000</v>
      </c>
      <c r="X30" s="81">
        <v>4.6416000000000004</v>
      </c>
      <c r="Y30" s="81">
        <v>4.6673999999999998</v>
      </c>
      <c r="Z30" s="81" t="s">
        <v>215</v>
      </c>
    </row>
    <row r="31" spans="1:26">
      <c r="A31" s="81" t="s">
        <v>216</v>
      </c>
      <c r="B31" s="82">
        <v>41708</v>
      </c>
      <c r="C31" s="81" t="s">
        <v>40</v>
      </c>
      <c r="D31" s="82">
        <v>45361</v>
      </c>
      <c r="E31" s="81" t="s">
        <v>13</v>
      </c>
      <c r="F31" s="81" t="s">
        <v>694</v>
      </c>
      <c r="G31" s="83">
        <v>13194001</v>
      </c>
      <c r="H31" s="83">
        <v>13194001</v>
      </c>
      <c r="I31" s="81" t="s">
        <v>33</v>
      </c>
      <c r="J31" s="81">
        <v>6</v>
      </c>
      <c r="K31" s="81">
        <v>3.5</v>
      </c>
      <c r="L31" s="81" t="s">
        <v>34</v>
      </c>
      <c r="M31" s="81" t="s">
        <v>34</v>
      </c>
      <c r="N31" s="81" t="s">
        <v>35</v>
      </c>
      <c r="O31" s="81" t="s">
        <v>36</v>
      </c>
      <c r="P31" s="81" t="s">
        <v>37</v>
      </c>
      <c r="Q31" s="81" t="s">
        <v>38</v>
      </c>
      <c r="R31" s="81" t="s">
        <v>39</v>
      </c>
      <c r="S31" s="81">
        <v>1.2250000000000001</v>
      </c>
      <c r="T31" s="81">
        <v>11163.25</v>
      </c>
      <c r="U31" s="81">
        <v>11000.62</v>
      </c>
      <c r="V31" s="81" t="s">
        <v>60</v>
      </c>
      <c r="W31" s="81">
        <v>1010000</v>
      </c>
      <c r="X31" s="81">
        <v>4.1649000000000003</v>
      </c>
      <c r="Y31" s="81">
        <v>4.1859999999999999</v>
      </c>
      <c r="Z31" s="81" t="s">
        <v>217</v>
      </c>
    </row>
    <row r="32" spans="1:26">
      <c r="A32" s="81" t="s">
        <v>218</v>
      </c>
      <c r="B32" s="82">
        <v>41527</v>
      </c>
      <c r="C32" s="81" t="s">
        <v>6</v>
      </c>
      <c r="D32" s="82">
        <v>45179</v>
      </c>
      <c r="E32" s="81" t="s">
        <v>13</v>
      </c>
      <c r="F32" s="81" t="s">
        <v>695</v>
      </c>
      <c r="G32" s="83">
        <v>12430026</v>
      </c>
      <c r="H32" s="83">
        <v>12430026</v>
      </c>
      <c r="I32" s="81" t="s">
        <v>33</v>
      </c>
      <c r="J32" s="81">
        <v>6</v>
      </c>
      <c r="K32" s="81">
        <v>3.375</v>
      </c>
      <c r="L32" s="81" t="s">
        <v>34</v>
      </c>
      <c r="M32" s="81" t="s">
        <v>34</v>
      </c>
      <c r="N32" s="81" t="s">
        <v>35</v>
      </c>
      <c r="O32" s="81" t="s">
        <v>36</v>
      </c>
      <c r="P32" s="81" t="s">
        <v>37</v>
      </c>
      <c r="Q32" s="81" t="s">
        <v>38</v>
      </c>
      <c r="R32" s="81" t="s">
        <v>39</v>
      </c>
      <c r="S32" s="81">
        <v>1.218</v>
      </c>
      <c r="T32" s="81">
        <v>11003.63</v>
      </c>
      <c r="U32" s="81">
        <v>10847.23</v>
      </c>
      <c r="V32" s="81" t="s">
        <v>60</v>
      </c>
      <c r="W32" s="81">
        <v>1010000</v>
      </c>
      <c r="X32" s="81">
        <v>3.742</v>
      </c>
      <c r="Y32" s="81">
        <v>3.7631999999999999</v>
      </c>
      <c r="Z32" s="81" t="s">
        <v>219</v>
      </c>
    </row>
    <row r="33" spans="1:26">
      <c r="A33" s="81" t="s">
        <v>220</v>
      </c>
      <c r="B33" s="82">
        <v>41343</v>
      </c>
      <c r="C33" s="81" t="s">
        <v>13</v>
      </c>
      <c r="D33" s="82">
        <v>44995</v>
      </c>
      <c r="E33" s="81" t="s">
        <v>10</v>
      </c>
      <c r="F33" s="81" t="s">
        <v>696</v>
      </c>
      <c r="G33" s="83">
        <v>12262020</v>
      </c>
      <c r="H33" s="83">
        <v>12262020</v>
      </c>
      <c r="I33" s="81" t="s">
        <v>33</v>
      </c>
      <c r="J33" s="81">
        <v>6</v>
      </c>
      <c r="K33" s="81">
        <v>3</v>
      </c>
      <c r="L33" s="81" t="s">
        <v>34</v>
      </c>
      <c r="M33" s="81" t="s">
        <v>34</v>
      </c>
      <c r="N33" s="81" t="s">
        <v>35</v>
      </c>
      <c r="O33" s="81" t="s">
        <v>36</v>
      </c>
      <c r="P33" s="81" t="s">
        <v>37</v>
      </c>
      <c r="Q33" s="81" t="s">
        <v>38</v>
      </c>
      <c r="R33" s="81" t="s">
        <v>39</v>
      </c>
      <c r="S33" s="81">
        <v>1.218</v>
      </c>
      <c r="T33" s="81">
        <v>10754.15</v>
      </c>
      <c r="U33" s="81">
        <v>10614.03</v>
      </c>
      <c r="V33" s="81" t="s">
        <v>60</v>
      </c>
      <c r="W33" s="81">
        <v>1010000</v>
      </c>
      <c r="X33" s="81">
        <v>3.3233999999999999</v>
      </c>
      <c r="Y33" s="81">
        <v>3.3389000000000002</v>
      </c>
      <c r="Z33" s="81" t="s">
        <v>221</v>
      </c>
    </row>
    <row r="34" spans="1:26">
      <c r="A34" s="81" t="s">
        <v>222</v>
      </c>
      <c r="B34" s="82">
        <v>41070</v>
      </c>
      <c r="C34" s="81" t="s">
        <v>13</v>
      </c>
      <c r="D34" s="82">
        <v>44722</v>
      </c>
      <c r="E34" s="81" t="s">
        <v>10</v>
      </c>
      <c r="F34" s="81" t="s">
        <v>688</v>
      </c>
      <c r="G34" s="83">
        <v>15281500</v>
      </c>
      <c r="H34" s="83">
        <v>15281500</v>
      </c>
      <c r="I34" s="81" t="s">
        <v>33</v>
      </c>
      <c r="J34" s="81">
        <v>6</v>
      </c>
      <c r="K34" s="81">
        <v>3.75</v>
      </c>
      <c r="L34" s="81" t="s">
        <v>34</v>
      </c>
      <c r="M34" s="81" t="s">
        <v>34</v>
      </c>
      <c r="N34" s="81" t="s">
        <v>35</v>
      </c>
      <c r="O34" s="81" t="s">
        <v>36</v>
      </c>
      <c r="P34" s="81" t="s">
        <v>37</v>
      </c>
      <c r="Q34" s="81" t="s">
        <v>38</v>
      </c>
      <c r="R34" s="81" t="s">
        <v>39</v>
      </c>
      <c r="S34" s="81">
        <v>1.21</v>
      </c>
      <c r="T34" s="81">
        <v>10774.09</v>
      </c>
      <c r="U34" s="81">
        <v>10693.15</v>
      </c>
      <c r="V34" s="81" t="s">
        <v>60</v>
      </c>
      <c r="W34" s="81">
        <v>1010000</v>
      </c>
      <c r="X34" s="81">
        <v>2.6404000000000001</v>
      </c>
      <c r="Y34" s="81">
        <v>2.6545000000000001</v>
      </c>
      <c r="Z34" s="81" t="s">
        <v>223</v>
      </c>
    </row>
    <row r="35" spans="1:26">
      <c r="A35" s="81" t="s">
        <v>224</v>
      </c>
      <c r="B35" s="82">
        <v>40704</v>
      </c>
      <c r="C35" s="81" t="s">
        <v>10</v>
      </c>
      <c r="D35" s="82">
        <v>44357</v>
      </c>
      <c r="E35" s="81" t="s">
        <v>4</v>
      </c>
      <c r="F35" s="81" t="s">
        <v>690</v>
      </c>
      <c r="G35" s="83">
        <v>21178959</v>
      </c>
      <c r="H35" s="83">
        <v>17285959</v>
      </c>
      <c r="I35" s="81" t="s">
        <v>33</v>
      </c>
      <c r="J35" s="81">
        <v>6</v>
      </c>
      <c r="K35" s="81">
        <v>4.25</v>
      </c>
      <c r="L35" s="81" t="s">
        <v>34</v>
      </c>
      <c r="M35" s="81" t="s">
        <v>34</v>
      </c>
      <c r="N35" s="81" t="s">
        <v>35</v>
      </c>
      <c r="O35" s="81" t="s">
        <v>36</v>
      </c>
      <c r="P35" s="81" t="s">
        <v>37</v>
      </c>
      <c r="Q35" s="81" t="s">
        <v>38</v>
      </c>
      <c r="R35" s="81" t="s">
        <v>39</v>
      </c>
      <c r="S35" s="81">
        <v>1.1819999999999999</v>
      </c>
      <c r="T35" s="81">
        <v>10631.54</v>
      </c>
      <c r="U35" s="81">
        <v>10541.15</v>
      </c>
      <c r="V35" s="81" t="s">
        <v>60</v>
      </c>
      <c r="W35" s="81">
        <v>1010000</v>
      </c>
      <c r="X35" s="81">
        <v>1.7153</v>
      </c>
      <c r="Y35" s="81">
        <v>1.724</v>
      </c>
      <c r="Z35" s="81" t="s">
        <v>225</v>
      </c>
    </row>
    <row r="36" spans="1:26">
      <c r="A36" s="81" t="s">
        <v>436</v>
      </c>
      <c r="B36" s="82">
        <v>40339</v>
      </c>
      <c r="C36" s="81" t="s">
        <v>4</v>
      </c>
      <c r="D36" s="82">
        <v>43992</v>
      </c>
      <c r="E36" s="81" t="s">
        <v>5</v>
      </c>
      <c r="F36" s="81" t="s">
        <v>692</v>
      </c>
      <c r="G36" s="83">
        <v>18848000</v>
      </c>
      <c r="H36" s="83">
        <v>11863000</v>
      </c>
      <c r="I36" s="81" t="s">
        <v>33</v>
      </c>
      <c r="J36" s="81">
        <v>6</v>
      </c>
      <c r="K36" s="81">
        <v>5</v>
      </c>
      <c r="L36" s="81" t="s">
        <v>34</v>
      </c>
      <c r="M36" s="81" t="s">
        <v>34</v>
      </c>
      <c r="N36" s="81" t="s">
        <v>35</v>
      </c>
      <c r="O36" s="81" t="s">
        <v>36</v>
      </c>
      <c r="P36" s="81" t="s">
        <v>37</v>
      </c>
      <c r="Q36" s="81" t="s">
        <v>38</v>
      </c>
      <c r="R36" s="81" t="s">
        <v>39</v>
      </c>
      <c r="S36" s="81">
        <v>1.077</v>
      </c>
      <c r="T36" s="81">
        <v>10413.200000000001</v>
      </c>
      <c r="U36" s="81">
        <v>10305.469999999999</v>
      </c>
      <c r="V36" s="81" t="s">
        <v>60</v>
      </c>
      <c r="W36" s="81">
        <v>1010000</v>
      </c>
      <c r="X36" s="81">
        <v>0.76870000000000005</v>
      </c>
      <c r="Y36" s="81">
        <v>0.77210000000000001</v>
      </c>
      <c r="Z36" s="81" t="s">
        <v>437</v>
      </c>
    </row>
    <row r="37" spans="1:26">
      <c r="A37" s="81" t="s">
        <v>360</v>
      </c>
      <c r="B37" s="82">
        <v>43261</v>
      </c>
      <c r="C37" s="81" t="s">
        <v>13</v>
      </c>
      <c r="D37" s="82">
        <v>46914</v>
      </c>
      <c r="E37" s="81" t="s">
        <v>11</v>
      </c>
      <c r="F37" s="81" t="s">
        <v>704</v>
      </c>
      <c r="G37" s="83">
        <v>1461000</v>
      </c>
      <c r="H37" s="83">
        <v>1461000</v>
      </c>
      <c r="I37" s="81" t="s">
        <v>33</v>
      </c>
      <c r="J37" s="81">
        <v>6</v>
      </c>
      <c r="K37" s="81">
        <v>1.75</v>
      </c>
      <c r="L37" s="81" t="s">
        <v>34</v>
      </c>
      <c r="M37" s="81" t="s">
        <v>34</v>
      </c>
      <c r="N37" s="81" t="s">
        <v>35</v>
      </c>
      <c r="O37" s="81" t="s">
        <v>36</v>
      </c>
      <c r="P37" s="81" t="s">
        <v>37</v>
      </c>
      <c r="Q37" s="81" t="s">
        <v>38</v>
      </c>
      <c r="R37" s="81" t="s">
        <v>39</v>
      </c>
      <c r="S37" s="81">
        <v>0.64500000000000002</v>
      </c>
      <c r="T37" s="81">
        <v>11055.78</v>
      </c>
      <c r="U37" s="81">
        <v>11017.75</v>
      </c>
      <c r="V37" s="81" t="s">
        <v>60</v>
      </c>
      <c r="W37" s="81">
        <v>1010000</v>
      </c>
      <c r="X37" s="81">
        <v>8.1717999999999993</v>
      </c>
      <c r="Y37" s="81">
        <v>8.1859000000000002</v>
      </c>
      <c r="Z37" s="81" t="s">
        <v>361</v>
      </c>
    </row>
    <row r="38" spans="1:26">
      <c r="A38" s="81" t="s">
        <v>277</v>
      </c>
      <c r="B38" s="82">
        <v>42531</v>
      </c>
      <c r="C38" s="81" t="s">
        <v>10</v>
      </c>
      <c r="D38" s="82">
        <v>46183</v>
      </c>
      <c r="E38" s="81" t="s">
        <v>5</v>
      </c>
      <c r="F38" s="81" t="s">
        <v>708</v>
      </c>
      <c r="G38" s="83">
        <v>4053020</v>
      </c>
      <c r="H38" s="83">
        <v>2918020</v>
      </c>
      <c r="I38" s="81" t="s">
        <v>33</v>
      </c>
      <c r="J38" s="81">
        <v>6</v>
      </c>
      <c r="K38" s="81">
        <v>1</v>
      </c>
      <c r="L38" s="81" t="s">
        <v>34</v>
      </c>
      <c r="M38" s="81" t="s">
        <v>34</v>
      </c>
      <c r="N38" s="81" t="s">
        <v>35</v>
      </c>
      <c r="O38" s="81" t="s">
        <v>36</v>
      </c>
      <c r="P38" s="81" t="s">
        <v>37</v>
      </c>
      <c r="Q38" s="81" t="s">
        <v>38</v>
      </c>
      <c r="R38" s="81" t="s">
        <v>39</v>
      </c>
      <c r="S38" s="81">
        <v>0.41899999999999998</v>
      </c>
      <c r="T38" s="81">
        <v>10847.85</v>
      </c>
      <c r="U38" s="81">
        <v>10823.71</v>
      </c>
      <c r="V38" s="81" t="s">
        <v>60</v>
      </c>
      <c r="W38" s="81">
        <v>1010000</v>
      </c>
      <c r="X38" s="81">
        <v>6.5602</v>
      </c>
      <c r="Y38" s="81">
        <v>6.5670999999999999</v>
      </c>
      <c r="Z38" s="81" t="s">
        <v>278</v>
      </c>
    </row>
    <row r="39" spans="1:26">
      <c r="A39" s="81" t="s">
        <v>226</v>
      </c>
      <c r="B39" s="82">
        <v>42165</v>
      </c>
      <c r="C39" s="81" t="s">
        <v>5</v>
      </c>
      <c r="D39" s="82">
        <v>45818</v>
      </c>
      <c r="E39" s="81" t="s">
        <v>6</v>
      </c>
      <c r="F39" s="81" t="s">
        <v>710</v>
      </c>
      <c r="G39" s="83">
        <v>2039030</v>
      </c>
      <c r="H39" s="83">
        <v>683030</v>
      </c>
      <c r="I39" s="81" t="s">
        <v>33</v>
      </c>
      <c r="J39" s="81">
        <v>6</v>
      </c>
      <c r="K39" s="81">
        <v>1.75</v>
      </c>
      <c r="L39" s="81" t="s">
        <v>34</v>
      </c>
      <c r="M39" s="81" t="s">
        <v>34</v>
      </c>
      <c r="N39" s="81" t="s">
        <v>35</v>
      </c>
      <c r="O39" s="81" t="s">
        <v>36</v>
      </c>
      <c r="P39" s="81" t="s">
        <v>37</v>
      </c>
      <c r="Q39" s="81" t="s">
        <v>38</v>
      </c>
      <c r="R39" s="81" t="s">
        <v>39</v>
      </c>
      <c r="S39" s="81">
        <v>0.28499999999999998</v>
      </c>
      <c r="T39" s="81">
        <v>11448.89</v>
      </c>
      <c r="U39" s="81">
        <v>11411.46</v>
      </c>
      <c r="V39" s="81" t="s">
        <v>60</v>
      </c>
      <c r="W39" s="81">
        <v>1010000</v>
      </c>
      <c r="X39" s="81">
        <v>5.5162000000000004</v>
      </c>
      <c r="Y39" s="81">
        <v>5.5195999999999996</v>
      </c>
      <c r="Z39" s="81" t="s">
        <v>227</v>
      </c>
    </row>
    <row r="40" spans="1:26">
      <c r="A40" s="81" t="s">
        <v>228</v>
      </c>
      <c r="B40" s="82">
        <v>41435</v>
      </c>
      <c r="C40" s="81" t="s">
        <v>40</v>
      </c>
      <c r="D40" s="82">
        <v>45087</v>
      </c>
      <c r="E40" s="81" t="s">
        <v>11</v>
      </c>
      <c r="F40" s="81" t="s">
        <v>711</v>
      </c>
      <c r="G40" s="83">
        <v>2261312</v>
      </c>
      <c r="H40" s="83">
        <v>679312</v>
      </c>
      <c r="I40" s="81" t="s">
        <v>33</v>
      </c>
      <c r="J40" s="81">
        <v>6</v>
      </c>
      <c r="K40" s="81">
        <v>1.125</v>
      </c>
      <c r="L40" s="81" t="s">
        <v>34</v>
      </c>
      <c r="M40" s="81" t="s">
        <v>34</v>
      </c>
      <c r="N40" s="81" t="s">
        <v>35</v>
      </c>
      <c r="O40" s="81" t="s">
        <v>36</v>
      </c>
      <c r="P40" s="81" t="s">
        <v>37</v>
      </c>
      <c r="Q40" s="81" t="s">
        <v>38</v>
      </c>
      <c r="R40" s="81" t="s">
        <v>39</v>
      </c>
      <c r="S40" s="81">
        <v>0.19400000000000001</v>
      </c>
      <c r="T40" s="81">
        <v>11097.94</v>
      </c>
      <c r="U40" s="81">
        <v>11072.79</v>
      </c>
      <c r="V40" s="81" t="s">
        <v>60</v>
      </c>
      <c r="W40" s="81">
        <v>1010000</v>
      </c>
      <c r="X40" s="81">
        <v>3.7061999999999999</v>
      </c>
      <c r="Y40" s="81">
        <v>3.7078000000000002</v>
      </c>
      <c r="Z40" s="81" t="s">
        <v>229</v>
      </c>
    </row>
    <row r="41" spans="1:26">
      <c r="A41" s="81" t="s">
        <v>230</v>
      </c>
      <c r="B41" s="82">
        <v>40704</v>
      </c>
      <c r="C41" s="81" t="s">
        <v>10</v>
      </c>
      <c r="D41" s="82">
        <v>44357</v>
      </c>
      <c r="E41" s="81" t="s">
        <v>4</v>
      </c>
      <c r="F41" s="81" t="s">
        <v>690</v>
      </c>
      <c r="G41" s="83">
        <v>5086051</v>
      </c>
      <c r="H41" s="83">
        <v>2753051</v>
      </c>
      <c r="I41" s="81" t="s">
        <v>33</v>
      </c>
      <c r="J41" s="81">
        <v>6</v>
      </c>
      <c r="K41" s="81">
        <v>1.5</v>
      </c>
      <c r="L41" s="81" t="s">
        <v>34</v>
      </c>
      <c r="M41" s="81" t="s">
        <v>34</v>
      </c>
      <c r="N41" s="81" t="s">
        <v>35</v>
      </c>
      <c r="O41" s="81" t="s">
        <v>36</v>
      </c>
      <c r="P41" s="81" t="s">
        <v>37</v>
      </c>
      <c r="Q41" s="81" t="s">
        <v>38</v>
      </c>
      <c r="R41" s="81" t="s">
        <v>39</v>
      </c>
      <c r="S41" s="81">
        <v>0.16500000000000001</v>
      </c>
      <c r="T41" s="81">
        <v>11452.9</v>
      </c>
      <c r="U41" s="81">
        <v>11417.82</v>
      </c>
      <c r="V41" s="81" t="s">
        <v>60</v>
      </c>
      <c r="W41" s="81">
        <v>1010000</v>
      </c>
      <c r="X41" s="81">
        <v>1.7609999999999999</v>
      </c>
      <c r="Y41" s="81">
        <v>1.7616000000000001</v>
      </c>
      <c r="Z41" s="81" t="s">
        <v>231</v>
      </c>
    </row>
    <row r="42" spans="1:26">
      <c r="A42" s="81" t="s">
        <v>232</v>
      </c>
      <c r="B42" s="82">
        <v>40339</v>
      </c>
      <c r="C42" s="81" t="s">
        <v>4</v>
      </c>
      <c r="D42" s="82">
        <v>43992</v>
      </c>
      <c r="E42" s="81" t="s">
        <v>5</v>
      </c>
      <c r="F42" s="81" t="s">
        <v>692</v>
      </c>
      <c r="G42" s="83">
        <v>1765000</v>
      </c>
      <c r="H42" s="83">
        <v>943000</v>
      </c>
      <c r="I42" s="81" t="s">
        <v>33</v>
      </c>
      <c r="J42" s="81">
        <v>6</v>
      </c>
      <c r="K42" s="81">
        <v>2.75</v>
      </c>
      <c r="L42" s="81" t="s">
        <v>34</v>
      </c>
      <c r="M42" s="81" t="s">
        <v>34</v>
      </c>
      <c r="N42" s="81" t="s">
        <v>35</v>
      </c>
      <c r="O42" s="81" t="s">
        <v>36</v>
      </c>
      <c r="P42" s="81" t="s">
        <v>37</v>
      </c>
      <c r="Q42" s="81" t="s">
        <v>38</v>
      </c>
      <c r="R42" s="81" t="s">
        <v>39</v>
      </c>
      <c r="S42" s="81">
        <v>5.6000000000000001E-2</v>
      </c>
      <c r="T42" s="81">
        <v>11972.38</v>
      </c>
      <c r="U42" s="81">
        <v>11903.82</v>
      </c>
      <c r="V42" s="81" t="s">
        <v>60</v>
      </c>
      <c r="W42" s="81">
        <v>1010000</v>
      </c>
      <c r="X42" s="81">
        <v>0.77729999999999999</v>
      </c>
      <c r="Y42" s="81">
        <v>0.77739999999999998</v>
      </c>
      <c r="Z42" s="81" t="s">
        <v>233</v>
      </c>
    </row>
    <row r="43" spans="1:26">
      <c r="A43" s="81" t="s">
        <v>579</v>
      </c>
      <c r="B43" s="82">
        <v>43718</v>
      </c>
      <c r="C43" s="81" t="s">
        <v>6</v>
      </c>
      <c r="D43" s="82">
        <v>51023</v>
      </c>
      <c r="E43" s="81" t="s">
        <v>11</v>
      </c>
      <c r="F43" s="81" t="s">
        <v>712</v>
      </c>
      <c r="G43" s="83">
        <v>200000</v>
      </c>
      <c r="H43" s="83">
        <v>200000</v>
      </c>
      <c r="I43" s="81" t="s">
        <v>33</v>
      </c>
      <c r="J43" s="81">
        <v>6</v>
      </c>
      <c r="K43" s="81">
        <v>1.125</v>
      </c>
      <c r="L43" s="81" t="s">
        <v>34</v>
      </c>
      <c r="M43" s="81" t="s">
        <v>34</v>
      </c>
      <c r="N43" s="81" t="s">
        <v>35</v>
      </c>
      <c r="O43" s="81" t="s">
        <v>36</v>
      </c>
      <c r="P43" s="81" t="s">
        <v>37</v>
      </c>
      <c r="Q43" s="81" t="s">
        <v>38</v>
      </c>
      <c r="R43" s="81" t="s">
        <v>39</v>
      </c>
      <c r="S43" s="81">
        <v>1.25</v>
      </c>
      <c r="T43" s="81">
        <v>9775.09</v>
      </c>
      <c r="U43" s="81">
        <v>9775.09</v>
      </c>
      <c r="V43" s="81" t="s">
        <v>60</v>
      </c>
      <c r="W43" s="81">
        <v>1010000</v>
      </c>
      <c r="X43" s="81">
        <v>17.980599999999999</v>
      </c>
      <c r="Y43" s="81">
        <v>17.971499999999999</v>
      </c>
      <c r="Z43" s="81" t="s">
        <v>580</v>
      </c>
    </row>
    <row r="44" spans="1:26">
      <c r="A44" s="81" t="s">
        <v>389</v>
      </c>
      <c r="B44" s="82">
        <v>43353</v>
      </c>
      <c r="C44" s="81" t="s">
        <v>40</v>
      </c>
      <c r="D44" s="82">
        <v>50658</v>
      </c>
      <c r="E44" s="81" t="s">
        <v>10</v>
      </c>
      <c r="F44" s="81" t="s">
        <v>713</v>
      </c>
      <c r="G44" s="83">
        <v>8221000</v>
      </c>
      <c r="H44" s="83">
        <v>8221000</v>
      </c>
      <c r="I44" s="81" t="s">
        <v>33</v>
      </c>
      <c r="J44" s="81">
        <v>6</v>
      </c>
      <c r="K44" s="81">
        <v>2.375</v>
      </c>
      <c r="L44" s="81" t="s">
        <v>34</v>
      </c>
      <c r="M44" s="81" t="s">
        <v>34</v>
      </c>
      <c r="N44" s="81" t="s">
        <v>35</v>
      </c>
      <c r="O44" s="81" t="s">
        <v>36</v>
      </c>
      <c r="P44" s="81" t="s">
        <v>37</v>
      </c>
      <c r="Q44" s="81" t="s">
        <v>38</v>
      </c>
      <c r="R44" s="81" t="s">
        <v>39</v>
      </c>
      <c r="S44" s="81">
        <v>1.2649999999999999</v>
      </c>
      <c r="T44" s="81">
        <v>11982.86</v>
      </c>
      <c r="U44" s="81">
        <v>11872.5</v>
      </c>
      <c r="V44" s="81" t="s">
        <v>60</v>
      </c>
      <c r="W44" s="81">
        <v>1010000</v>
      </c>
      <c r="X44" s="81">
        <v>15.6267</v>
      </c>
      <c r="Y44" s="81">
        <v>15.634</v>
      </c>
      <c r="Z44" s="81" t="s">
        <v>381</v>
      </c>
    </row>
    <row r="45" spans="1:26">
      <c r="A45" s="81" t="s">
        <v>315</v>
      </c>
      <c r="B45" s="82">
        <v>42988</v>
      </c>
      <c r="C45" s="81" t="s">
        <v>13</v>
      </c>
      <c r="D45" s="82">
        <v>50293</v>
      </c>
      <c r="E45" s="81" t="s">
        <v>4</v>
      </c>
      <c r="F45" s="81" t="s">
        <v>714</v>
      </c>
      <c r="G45" s="83">
        <v>9556000</v>
      </c>
      <c r="H45" s="83">
        <v>9556000</v>
      </c>
      <c r="I45" s="81" t="s">
        <v>33</v>
      </c>
      <c r="J45" s="81">
        <v>6</v>
      </c>
      <c r="K45" s="81">
        <v>2.25</v>
      </c>
      <c r="L45" s="81" t="s">
        <v>34</v>
      </c>
      <c r="M45" s="81" t="s">
        <v>34</v>
      </c>
      <c r="N45" s="81" t="s">
        <v>35</v>
      </c>
      <c r="O45" s="81" t="s">
        <v>36</v>
      </c>
      <c r="P45" s="81" t="s">
        <v>37</v>
      </c>
      <c r="Q45" s="81" t="s">
        <v>38</v>
      </c>
      <c r="R45" s="81" t="s">
        <v>39</v>
      </c>
      <c r="S45" s="81">
        <v>1.27</v>
      </c>
      <c r="T45" s="81">
        <v>11679.72</v>
      </c>
      <c r="U45" s="81">
        <v>11575.17</v>
      </c>
      <c r="V45" s="81" t="s">
        <v>60</v>
      </c>
      <c r="W45" s="81">
        <v>1010000</v>
      </c>
      <c r="X45" s="81">
        <v>15.0375</v>
      </c>
      <c r="Y45" s="81">
        <v>15.0528</v>
      </c>
      <c r="Z45" s="81" t="s">
        <v>316</v>
      </c>
    </row>
    <row r="46" spans="1:26">
      <c r="A46" s="81" t="s">
        <v>280</v>
      </c>
      <c r="B46" s="82">
        <v>42623</v>
      </c>
      <c r="C46" s="81" t="s">
        <v>11</v>
      </c>
      <c r="D46" s="82">
        <v>49928</v>
      </c>
      <c r="E46" s="81" t="s">
        <v>5</v>
      </c>
      <c r="F46" s="81" t="s">
        <v>715</v>
      </c>
      <c r="G46" s="83">
        <v>9793000</v>
      </c>
      <c r="H46" s="83">
        <v>9793000</v>
      </c>
      <c r="I46" s="81" t="s">
        <v>33</v>
      </c>
      <c r="J46" s="81">
        <v>6</v>
      </c>
      <c r="K46" s="81">
        <v>1.5</v>
      </c>
      <c r="L46" s="81" t="s">
        <v>34</v>
      </c>
      <c r="M46" s="81" t="s">
        <v>34</v>
      </c>
      <c r="N46" s="81" t="s">
        <v>35</v>
      </c>
      <c r="O46" s="81" t="s">
        <v>36</v>
      </c>
      <c r="P46" s="81" t="s">
        <v>37</v>
      </c>
      <c r="Q46" s="81" t="s">
        <v>38</v>
      </c>
      <c r="R46" s="81" t="s">
        <v>39</v>
      </c>
      <c r="S46" s="81">
        <v>1.2629999999999999</v>
      </c>
      <c r="T46" s="81">
        <v>10431.379999999999</v>
      </c>
      <c r="U46" s="81">
        <v>10366.879999999999</v>
      </c>
      <c r="V46" s="81" t="s">
        <v>60</v>
      </c>
      <c r="W46" s="81">
        <v>1010000</v>
      </c>
      <c r="X46" s="81">
        <v>15.0169</v>
      </c>
      <c r="Y46" s="81">
        <v>15.037699999999999</v>
      </c>
      <c r="Z46" s="81" t="s">
        <v>281</v>
      </c>
    </row>
    <row r="47" spans="1:26">
      <c r="A47" s="81" t="s">
        <v>234</v>
      </c>
      <c r="B47" s="82">
        <v>42257</v>
      </c>
      <c r="C47" s="81" t="s">
        <v>4</v>
      </c>
      <c r="D47" s="82">
        <v>49562</v>
      </c>
      <c r="E47" s="81" t="s">
        <v>40</v>
      </c>
      <c r="F47" s="81" t="s">
        <v>716</v>
      </c>
      <c r="G47" s="83">
        <v>12359092</v>
      </c>
      <c r="H47" s="83">
        <v>12359092</v>
      </c>
      <c r="I47" s="81" t="s">
        <v>33</v>
      </c>
      <c r="J47" s="81">
        <v>6</v>
      </c>
      <c r="K47" s="81">
        <v>2.625</v>
      </c>
      <c r="L47" s="81" t="s">
        <v>34</v>
      </c>
      <c r="M47" s="81" t="s">
        <v>34</v>
      </c>
      <c r="N47" s="81" t="s">
        <v>35</v>
      </c>
      <c r="O47" s="81" t="s">
        <v>36</v>
      </c>
      <c r="P47" s="81" t="s">
        <v>37</v>
      </c>
      <c r="Q47" s="81" t="s">
        <v>38</v>
      </c>
      <c r="R47" s="81" t="s">
        <v>39</v>
      </c>
      <c r="S47" s="81">
        <v>1.258</v>
      </c>
      <c r="T47" s="81">
        <v>12100.32</v>
      </c>
      <c r="U47" s="81">
        <v>11981.03</v>
      </c>
      <c r="V47" s="81" t="s">
        <v>60</v>
      </c>
      <c r="W47" s="81">
        <v>1010000</v>
      </c>
      <c r="X47" s="81">
        <v>13.3225</v>
      </c>
      <c r="Y47" s="81">
        <v>13.349399999999999</v>
      </c>
      <c r="Z47" s="81" t="s">
        <v>235</v>
      </c>
    </row>
    <row r="48" spans="1:26">
      <c r="A48" s="81" t="s">
        <v>236</v>
      </c>
      <c r="B48" s="82">
        <v>41618</v>
      </c>
      <c r="C48" s="81" t="s">
        <v>6</v>
      </c>
      <c r="D48" s="82">
        <v>48923</v>
      </c>
      <c r="E48" s="81" t="s">
        <v>11</v>
      </c>
      <c r="F48" s="81" t="s">
        <v>717</v>
      </c>
      <c r="G48" s="83">
        <v>17673540</v>
      </c>
      <c r="H48" s="83">
        <v>17673540</v>
      </c>
      <c r="I48" s="81" t="s">
        <v>33</v>
      </c>
      <c r="J48" s="81">
        <v>6</v>
      </c>
      <c r="K48" s="81">
        <v>3.75</v>
      </c>
      <c r="L48" s="81" t="s">
        <v>34</v>
      </c>
      <c r="M48" s="81" t="s">
        <v>34</v>
      </c>
      <c r="N48" s="81" t="s">
        <v>35</v>
      </c>
      <c r="O48" s="81" t="s">
        <v>36</v>
      </c>
      <c r="P48" s="81" t="s">
        <v>37</v>
      </c>
      <c r="Q48" s="81" t="s">
        <v>38</v>
      </c>
      <c r="R48" s="81" t="s">
        <v>39</v>
      </c>
      <c r="S48" s="81">
        <v>1.254</v>
      </c>
      <c r="T48" s="81">
        <v>13334.65</v>
      </c>
      <c r="U48" s="81">
        <v>13257.81</v>
      </c>
      <c r="V48" s="81" t="s">
        <v>60</v>
      </c>
      <c r="W48" s="81">
        <v>1010000</v>
      </c>
      <c r="X48" s="81">
        <v>11.56</v>
      </c>
      <c r="Y48" s="81">
        <v>11.5938</v>
      </c>
      <c r="Z48" s="81" t="s">
        <v>237</v>
      </c>
    </row>
    <row r="49" spans="1:26">
      <c r="A49" s="81" t="s">
        <v>238</v>
      </c>
      <c r="B49" s="82">
        <v>40887</v>
      </c>
      <c r="C49" s="81" t="s">
        <v>11</v>
      </c>
      <c r="D49" s="82">
        <v>48192</v>
      </c>
      <c r="E49" s="81" t="s">
        <v>5</v>
      </c>
      <c r="F49" s="81" t="s">
        <v>718</v>
      </c>
      <c r="G49" s="83">
        <v>19960560</v>
      </c>
      <c r="H49" s="83">
        <v>19863560</v>
      </c>
      <c r="I49" s="81" t="s">
        <v>33</v>
      </c>
      <c r="J49" s="81">
        <v>6</v>
      </c>
      <c r="K49" s="81">
        <v>4</v>
      </c>
      <c r="L49" s="81" t="s">
        <v>34</v>
      </c>
      <c r="M49" s="81" t="s">
        <v>34</v>
      </c>
      <c r="N49" s="81" t="s">
        <v>35</v>
      </c>
      <c r="O49" s="81" t="s">
        <v>36</v>
      </c>
      <c r="P49" s="81" t="s">
        <v>37</v>
      </c>
      <c r="Q49" s="81" t="s">
        <v>38</v>
      </c>
      <c r="R49" s="81" t="s">
        <v>39</v>
      </c>
      <c r="S49" s="81">
        <v>1.2549999999999999</v>
      </c>
      <c r="T49" s="81">
        <v>13201.57</v>
      </c>
      <c r="U49" s="81">
        <v>13119.67</v>
      </c>
      <c r="V49" s="81" t="s">
        <v>60</v>
      </c>
      <c r="W49" s="81">
        <v>1010000</v>
      </c>
      <c r="X49" s="81">
        <v>10.087400000000001</v>
      </c>
      <c r="Y49" s="81">
        <v>10.124499999999999</v>
      </c>
      <c r="Z49" s="81" t="s">
        <v>239</v>
      </c>
    </row>
    <row r="50" spans="1:26">
      <c r="A50" s="81" t="s">
        <v>240</v>
      </c>
      <c r="B50" s="82">
        <v>40522</v>
      </c>
      <c r="C50" s="81" t="s">
        <v>10</v>
      </c>
      <c r="D50" s="82">
        <v>47827</v>
      </c>
      <c r="E50" s="81" t="s">
        <v>6</v>
      </c>
      <c r="F50" s="81" t="s">
        <v>719</v>
      </c>
      <c r="G50" s="83">
        <v>11519300</v>
      </c>
      <c r="H50" s="83">
        <v>11258300</v>
      </c>
      <c r="I50" s="81" t="s">
        <v>33</v>
      </c>
      <c r="J50" s="81">
        <v>6</v>
      </c>
      <c r="K50" s="81">
        <v>4.75</v>
      </c>
      <c r="L50" s="81" t="s">
        <v>34</v>
      </c>
      <c r="M50" s="81" t="s">
        <v>34</v>
      </c>
      <c r="N50" s="81" t="s">
        <v>35</v>
      </c>
      <c r="O50" s="81" t="s">
        <v>36</v>
      </c>
      <c r="P50" s="81" t="s">
        <v>37</v>
      </c>
      <c r="Q50" s="81" t="s">
        <v>38</v>
      </c>
      <c r="R50" s="81" t="s">
        <v>39</v>
      </c>
      <c r="S50" s="81">
        <v>1.252</v>
      </c>
      <c r="T50" s="81">
        <v>13772.22</v>
      </c>
      <c r="U50" s="81">
        <v>13672.64</v>
      </c>
      <c r="V50" s="81" t="s">
        <v>60</v>
      </c>
      <c r="W50" s="81">
        <v>1010000</v>
      </c>
      <c r="X50" s="81">
        <v>9.1652000000000005</v>
      </c>
      <c r="Y50" s="81">
        <v>9.2027000000000001</v>
      </c>
      <c r="Z50" s="81" t="s">
        <v>241</v>
      </c>
    </row>
    <row r="51" spans="1:26">
      <c r="A51" s="81" t="s">
        <v>242</v>
      </c>
      <c r="B51" s="82">
        <v>40157</v>
      </c>
      <c r="C51" s="81" t="s">
        <v>4</v>
      </c>
      <c r="D51" s="82">
        <v>47462</v>
      </c>
      <c r="E51" s="81" t="s">
        <v>40</v>
      </c>
      <c r="F51" s="81" t="s">
        <v>720</v>
      </c>
      <c r="G51" s="83">
        <v>11450300</v>
      </c>
      <c r="H51" s="83">
        <v>11103300</v>
      </c>
      <c r="I51" s="81" t="s">
        <v>33</v>
      </c>
      <c r="J51" s="81">
        <v>6</v>
      </c>
      <c r="K51" s="81">
        <v>5.5</v>
      </c>
      <c r="L51" s="81" t="s">
        <v>34</v>
      </c>
      <c r="M51" s="81" t="s">
        <v>34</v>
      </c>
      <c r="N51" s="81" t="s">
        <v>35</v>
      </c>
      <c r="O51" s="81" t="s">
        <v>36</v>
      </c>
      <c r="P51" s="81" t="s">
        <v>37</v>
      </c>
      <c r="Q51" s="81" t="s">
        <v>38</v>
      </c>
      <c r="R51" s="81" t="s">
        <v>39</v>
      </c>
      <c r="S51" s="81">
        <v>1.25</v>
      </c>
      <c r="T51" s="81">
        <v>14207.96</v>
      </c>
      <c r="U51" s="81">
        <v>14089.25</v>
      </c>
      <c r="V51" s="81" t="s">
        <v>60</v>
      </c>
      <c r="W51" s="81">
        <v>1010000</v>
      </c>
      <c r="X51" s="81">
        <v>8.3002000000000002</v>
      </c>
      <c r="Y51" s="81">
        <v>8.3369999999999997</v>
      </c>
      <c r="Z51" s="81" t="s">
        <v>243</v>
      </c>
    </row>
    <row r="52" spans="1:26">
      <c r="A52" s="81" t="s">
        <v>244</v>
      </c>
      <c r="B52" s="82">
        <v>39517</v>
      </c>
      <c r="C52" s="81" t="s">
        <v>40</v>
      </c>
      <c r="D52" s="82">
        <v>46822</v>
      </c>
      <c r="E52" s="81" t="s">
        <v>10</v>
      </c>
      <c r="F52" s="81" t="s">
        <v>721</v>
      </c>
      <c r="G52" s="83">
        <v>10979000</v>
      </c>
      <c r="H52" s="83">
        <v>10927000</v>
      </c>
      <c r="I52" s="81" t="s">
        <v>33</v>
      </c>
      <c r="J52" s="81">
        <v>6</v>
      </c>
      <c r="K52" s="81">
        <v>5.5</v>
      </c>
      <c r="L52" s="81" t="s">
        <v>34</v>
      </c>
      <c r="M52" s="81" t="s">
        <v>34</v>
      </c>
      <c r="N52" s="81" t="s">
        <v>35</v>
      </c>
      <c r="O52" s="81" t="s">
        <v>36</v>
      </c>
      <c r="P52" s="81" t="s">
        <v>37</v>
      </c>
      <c r="Q52" s="81" t="s">
        <v>38</v>
      </c>
      <c r="R52" s="81" t="s">
        <v>39</v>
      </c>
      <c r="S52" s="81">
        <v>1.26</v>
      </c>
      <c r="T52" s="81">
        <v>13676.46</v>
      </c>
      <c r="U52" s="81">
        <v>13420.89</v>
      </c>
      <c r="V52" s="81" t="s">
        <v>60</v>
      </c>
      <c r="W52" s="81">
        <v>1010000</v>
      </c>
      <c r="X52" s="81">
        <v>7.0129999999999999</v>
      </c>
      <c r="Y52" s="81">
        <v>7.0457000000000001</v>
      </c>
      <c r="Z52" s="81" t="s">
        <v>245</v>
      </c>
    </row>
    <row r="53" spans="1:26">
      <c r="A53" s="81" t="s">
        <v>246</v>
      </c>
      <c r="B53" s="82">
        <v>39151</v>
      </c>
      <c r="C53" s="81" t="s">
        <v>11</v>
      </c>
      <c r="D53" s="82">
        <v>46456</v>
      </c>
      <c r="E53" s="81" t="s">
        <v>5</v>
      </c>
      <c r="F53" s="81" t="s">
        <v>722</v>
      </c>
      <c r="G53" s="83">
        <v>5203000</v>
      </c>
      <c r="H53" s="83">
        <v>5181000</v>
      </c>
      <c r="I53" s="81" t="s">
        <v>33</v>
      </c>
      <c r="J53" s="81">
        <v>6</v>
      </c>
      <c r="K53" s="81">
        <v>5.25</v>
      </c>
      <c r="L53" s="81" t="s">
        <v>34</v>
      </c>
      <c r="M53" s="81" t="s">
        <v>34</v>
      </c>
      <c r="N53" s="81" t="s">
        <v>35</v>
      </c>
      <c r="O53" s="81" t="s">
        <v>36</v>
      </c>
      <c r="P53" s="81" t="s">
        <v>37</v>
      </c>
      <c r="Q53" s="81" t="s">
        <v>38</v>
      </c>
      <c r="R53" s="81" t="s">
        <v>39</v>
      </c>
      <c r="S53" s="81">
        <v>1.2470000000000001</v>
      </c>
      <c r="T53" s="81">
        <v>13114.08</v>
      </c>
      <c r="U53" s="81">
        <v>12872.07</v>
      </c>
      <c r="V53" s="81" t="s">
        <v>60</v>
      </c>
      <c r="W53" s="81">
        <v>1010000</v>
      </c>
      <c r="X53" s="81">
        <v>6.3361999999999998</v>
      </c>
      <c r="Y53" s="81">
        <v>6.3657000000000004</v>
      </c>
      <c r="Z53" s="81" t="s">
        <v>247</v>
      </c>
    </row>
    <row r="54" spans="1:26">
      <c r="A54" s="81" t="s">
        <v>395</v>
      </c>
      <c r="B54" s="82">
        <v>38786</v>
      </c>
      <c r="C54" s="81" t="s">
        <v>10</v>
      </c>
      <c r="D54" s="82">
        <v>46091</v>
      </c>
      <c r="E54" s="81" t="s">
        <v>6</v>
      </c>
      <c r="F54" s="81" t="s">
        <v>723</v>
      </c>
      <c r="G54" s="83">
        <v>6670210</v>
      </c>
      <c r="H54" s="83">
        <v>6649210</v>
      </c>
      <c r="I54" s="81" t="s">
        <v>33</v>
      </c>
      <c r="J54" s="81">
        <v>6</v>
      </c>
      <c r="K54" s="81">
        <v>5.75</v>
      </c>
      <c r="L54" s="81" t="s">
        <v>34</v>
      </c>
      <c r="M54" s="81" t="s">
        <v>34</v>
      </c>
      <c r="N54" s="81" t="s">
        <v>35</v>
      </c>
      <c r="O54" s="81" t="s">
        <v>36</v>
      </c>
      <c r="P54" s="81" t="s">
        <v>37</v>
      </c>
      <c r="Q54" s="81" t="s">
        <v>38</v>
      </c>
      <c r="R54" s="81" t="s">
        <v>39</v>
      </c>
      <c r="S54" s="81">
        <v>1.238</v>
      </c>
      <c r="T54" s="81">
        <v>13091.32</v>
      </c>
      <c r="U54" s="81">
        <v>12824.87</v>
      </c>
      <c r="V54" s="81" t="s">
        <v>60</v>
      </c>
      <c r="W54" s="81">
        <v>1010000</v>
      </c>
      <c r="X54" s="81">
        <v>5.5311000000000003</v>
      </c>
      <c r="Y54" s="81">
        <v>5.5575000000000001</v>
      </c>
      <c r="Z54" s="81" t="s">
        <v>396</v>
      </c>
    </row>
    <row r="55" spans="1:26">
      <c r="A55" s="81" t="s">
        <v>462</v>
      </c>
      <c r="B55" s="82">
        <v>43534</v>
      </c>
      <c r="C55" s="81" t="s">
        <v>13</v>
      </c>
      <c r="D55" s="82">
        <v>54492</v>
      </c>
      <c r="E55" s="81" t="s">
        <v>5</v>
      </c>
      <c r="F55" s="81" t="s">
        <v>724</v>
      </c>
      <c r="G55" s="83">
        <v>16187014</v>
      </c>
      <c r="H55" s="83">
        <v>16187014</v>
      </c>
      <c r="I55" s="81" t="s">
        <v>33</v>
      </c>
      <c r="J55" s="81">
        <v>6</v>
      </c>
      <c r="K55" s="81">
        <v>2</v>
      </c>
      <c r="L55" s="81" t="s">
        <v>34</v>
      </c>
      <c r="M55" s="81" t="s">
        <v>34</v>
      </c>
      <c r="N55" s="81" t="s">
        <v>35</v>
      </c>
      <c r="O55" s="81" t="s">
        <v>36</v>
      </c>
      <c r="P55" s="81" t="s">
        <v>37</v>
      </c>
      <c r="Q55" s="81" t="s">
        <v>38</v>
      </c>
      <c r="R55" s="81" t="s">
        <v>39</v>
      </c>
      <c r="S55" s="81">
        <v>1.2669999999999999</v>
      </c>
      <c r="T55" s="81">
        <v>11894.19</v>
      </c>
      <c r="U55" s="81">
        <v>11801.26</v>
      </c>
      <c r="V55" s="81" t="s">
        <v>60</v>
      </c>
      <c r="W55" s="81">
        <v>1010000</v>
      </c>
      <c r="X55" s="81">
        <v>23.084</v>
      </c>
      <c r="Y55" s="81">
        <v>22.924499999999998</v>
      </c>
      <c r="Z55" s="81" t="s">
        <v>463</v>
      </c>
    </row>
    <row r="56" spans="1:26">
      <c r="A56" s="81" t="s">
        <v>340</v>
      </c>
      <c r="B56" s="82">
        <v>43169</v>
      </c>
      <c r="C56" s="81" t="s">
        <v>11</v>
      </c>
      <c r="D56" s="82">
        <v>54127</v>
      </c>
      <c r="E56" s="81" t="s">
        <v>6</v>
      </c>
      <c r="F56" s="81" t="s">
        <v>725</v>
      </c>
      <c r="G56" s="83">
        <v>22902000</v>
      </c>
      <c r="H56" s="83">
        <v>22902000</v>
      </c>
      <c r="I56" s="81" t="s">
        <v>33</v>
      </c>
      <c r="J56" s="81">
        <v>6</v>
      </c>
      <c r="K56" s="81">
        <v>2.625</v>
      </c>
      <c r="L56" s="81" t="s">
        <v>34</v>
      </c>
      <c r="M56" s="81" t="s">
        <v>34</v>
      </c>
      <c r="N56" s="81" t="s">
        <v>35</v>
      </c>
      <c r="O56" s="81" t="s">
        <v>36</v>
      </c>
      <c r="P56" s="81" t="s">
        <v>37</v>
      </c>
      <c r="Q56" s="81" t="s">
        <v>38</v>
      </c>
      <c r="R56" s="81" t="s">
        <v>39</v>
      </c>
      <c r="S56" s="81">
        <v>1.27</v>
      </c>
      <c r="T56" s="81">
        <v>13356.83</v>
      </c>
      <c r="U56" s="81">
        <v>13234.86</v>
      </c>
      <c r="V56" s="81" t="s">
        <v>60</v>
      </c>
      <c r="W56" s="81">
        <v>1010000</v>
      </c>
      <c r="X56" s="81">
        <v>21.415900000000001</v>
      </c>
      <c r="Y56" s="81">
        <v>21.293800000000001</v>
      </c>
      <c r="Z56" s="81" t="s">
        <v>341</v>
      </c>
    </row>
    <row r="57" spans="1:26">
      <c r="A57" s="81" t="s">
        <v>296</v>
      </c>
      <c r="B57" s="82">
        <v>42804</v>
      </c>
      <c r="C57" s="81" t="s">
        <v>10</v>
      </c>
      <c r="D57" s="82">
        <v>53761</v>
      </c>
      <c r="E57" s="81" t="s">
        <v>13</v>
      </c>
      <c r="F57" s="81" t="s">
        <v>726</v>
      </c>
      <c r="G57" s="83">
        <v>21413000</v>
      </c>
      <c r="H57" s="83">
        <v>21413000</v>
      </c>
      <c r="I57" s="81" t="s">
        <v>33</v>
      </c>
      <c r="J57" s="81">
        <v>6</v>
      </c>
      <c r="K57" s="81">
        <v>2.125</v>
      </c>
      <c r="L57" s="81" t="s">
        <v>34</v>
      </c>
      <c r="M57" s="81" t="s">
        <v>34</v>
      </c>
      <c r="N57" s="81" t="s">
        <v>35</v>
      </c>
      <c r="O57" s="81" t="s">
        <v>36</v>
      </c>
      <c r="P57" s="81" t="s">
        <v>37</v>
      </c>
      <c r="Q57" s="81" t="s">
        <v>38</v>
      </c>
      <c r="R57" s="81" t="s">
        <v>39</v>
      </c>
      <c r="S57" s="81">
        <v>1.2689999999999999</v>
      </c>
      <c r="T57" s="81">
        <v>12082.72</v>
      </c>
      <c r="U57" s="81">
        <v>11989.14</v>
      </c>
      <c r="V57" s="81" t="s">
        <v>60</v>
      </c>
      <c r="W57" s="81">
        <v>1010000</v>
      </c>
      <c r="X57" s="81">
        <v>21.586300000000001</v>
      </c>
      <c r="Y57" s="81">
        <v>21.472300000000001</v>
      </c>
      <c r="Z57" s="81" t="s">
        <v>297</v>
      </c>
    </row>
    <row r="58" spans="1:26">
      <c r="A58" s="81" t="s">
        <v>265</v>
      </c>
      <c r="B58" s="82">
        <v>42439</v>
      </c>
      <c r="C58" s="81" t="s">
        <v>4</v>
      </c>
      <c r="D58" s="82">
        <v>53396</v>
      </c>
      <c r="E58" s="81" t="s">
        <v>11</v>
      </c>
      <c r="F58" s="81" t="s">
        <v>727</v>
      </c>
      <c r="G58" s="83">
        <v>14387000</v>
      </c>
      <c r="H58" s="83">
        <v>14387000</v>
      </c>
      <c r="I58" s="81" t="s">
        <v>33</v>
      </c>
      <c r="J58" s="81">
        <v>6</v>
      </c>
      <c r="K58" s="81">
        <v>2</v>
      </c>
      <c r="L58" s="81" t="s">
        <v>34</v>
      </c>
      <c r="M58" s="81" t="s">
        <v>34</v>
      </c>
      <c r="N58" s="81" t="s">
        <v>35</v>
      </c>
      <c r="O58" s="81" t="s">
        <v>36</v>
      </c>
      <c r="P58" s="81" t="s">
        <v>37</v>
      </c>
      <c r="Q58" s="81" t="s">
        <v>38</v>
      </c>
      <c r="R58" s="81" t="s">
        <v>39</v>
      </c>
      <c r="S58" s="81">
        <v>1.2689999999999999</v>
      </c>
      <c r="T58" s="81">
        <v>11735.42</v>
      </c>
      <c r="U58" s="81">
        <v>11647.41</v>
      </c>
      <c r="V58" s="81" t="s">
        <v>60</v>
      </c>
      <c r="W58" s="81">
        <v>1010000</v>
      </c>
      <c r="X58" s="81">
        <v>21.151299999999999</v>
      </c>
      <c r="Y58" s="81">
        <v>21.053799999999999</v>
      </c>
      <c r="Z58" s="81" t="s">
        <v>266</v>
      </c>
    </row>
    <row r="59" spans="1:26">
      <c r="A59" s="81" t="s">
        <v>248</v>
      </c>
      <c r="B59" s="82">
        <v>41983</v>
      </c>
      <c r="C59" s="81" t="s">
        <v>5</v>
      </c>
      <c r="D59" s="82">
        <v>52941</v>
      </c>
      <c r="E59" s="81" t="s">
        <v>11</v>
      </c>
      <c r="F59" s="81" t="s">
        <v>728</v>
      </c>
      <c r="G59" s="83">
        <v>15083029</v>
      </c>
      <c r="H59" s="83">
        <v>15083029</v>
      </c>
      <c r="I59" s="81" t="s">
        <v>33</v>
      </c>
      <c r="J59" s="81">
        <v>6</v>
      </c>
      <c r="K59" s="81">
        <v>2.75</v>
      </c>
      <c r="L59" s="81" t="s">
        <v>34</v>
      </c>
      <c r="M59" s="81" t="s">
        <v>34</v>
      </c>
      <c r="N59" s="81" t="s">
        <v>35</v>
      </c>
      <c r="O59" s="81" t="s">
        <v>36</v>
      </c>
      <c r="P59" s="81" t="s">
        <v>37</v>
      </c>
      <c r="Q59" s="81" t="s">
        <v>38</v>
      </c>
      <c r="R59" s="81" t="s">
        <v>39</v>
      </c>
      <c r="S59" s="81">
        <v>1.2669999999999999</v>
      </c>
      <c r="T59" s="81">
        <v>13258.09</v>
      </c>
      <c r="U59" s="81">
        <v>13204.69</v>
      </c>
      <c r="V59" s="81" t="s">
        <v>60</v>
      </c>
      <c r="W59" s="81">
        <v>1010000</v>
      </c>
      <c r="X59" s="81">
        <v>19.389199999999999</v>
      </c>
      <c r="Y59" s="81">
        <v>19.3262</v>
      </c>
      <c r="Z59" s="81" t="s">
        <v>249</v>
      </c>
    </row>
    <row r="60" spans="1:26">
      <c r="A60" s="81" t="s">
        <v>250</v>
      </c>
      <c r="B60" s="82">
        <v>41253</v>
      </c>
      <c r="C60" s="81" t="s">
        <v>40</v>
      </c>
      <c r="D60" s="82">
        <v>52210</v>
      </c>
      <c r="E60" s="81" t="s">
        <v>5</v>
      </c>
      <c r="F60" s="81" t="s">
        <v>729</v>
      </c>
      <c r="G60" s="83">
        <v>20278021</v>
      </c>
      <c r="H60" s="83">
        <v>20278021</v>
      </c>
      <c r="I60" s="81" t="s">
        <v>33</v>
      </c>
      <c r="J60" s="81">
        <v>6</v>
      </c>
      <c r="K60" s="81">
        <v>3</v>
      </c>
      <c r="L60" s="81" t="s">
        <v>34</v>
      </c>
      <c r="M60" s="81" t="s">
        <v>34</v>
      </c>
      <c r="N60" s="81" t="s">
        <v>35</v>
      </c>
      <c r="O60" s="81" t="s">
        <v>36</v>
      </c>
      <c r="P60" s="81" t="s">
        <v>37</v>
      </c>
      <c r="Q60" s="81" t="s">
        <v>38</v>
      </c>
      <c r="R60" s="81" t="s">
        <v>39</v>
      </c>
      <c r="S60" s="81">
        <v>1.266</v>
      </c>
      <c r="T60" s="81">
        <v>13550.28</v>
      </c>
      <c r="U60" s="81">
        <v>13489.54</v>
      </c>
      <c r="V60" s="81" t="s">
        <v>60</v>
      </c>
      <c r="W60" s="81">
        <v>1010000</v>
      </c>
      <c r="X60" s="81">
        <v>17.882200000000001</v>
      </c>
      <c r="Y60" s="81">
        <v>17.849</v>
      </c>
      <c r="Z60" s="81" t="s">
        <v>251</v>
      </c>
    </row>
    <row r="61" spans="1:26">
      <c r="A61" s="81" t="s">
        <v>421</v>
      </c>
      <c r="B61" s="82">
        <v>43353</v>
      </c>
      <c r="C61" s="81" t="s">
        <v>40</v>
      </c>
      <c r="D61" s="82">
        <v>61616</v>
      </c>
      <c r="E61" s="81" t="s">
        <v>40</v>
      </c>
      <c r="F61" s="81" t="s">
        <v>730</v>
      </c>
      <c r="G61" s="83">
        <v>3558000</v>
      </c>
      <c r="H61" s="83">
        <v>3558000</v>
      </c>
      <c r="I61" s="81" t="s">
        <v>33</v>
      </c>
      <c r="J61" s="81">
        <v>6</v>
      </c>
      <c r="K61" s="81">
        <v>2</v>
      </c>
      <c r="L61" s="81" t="s">
        <v>34</v>
      </c>
      <c r="M61" s="81" t="s">
        <v>34</v>
      </c>
      <c r="N61" s="81" t="s">
        <v>35</v>
      </c>
      <c r="O61" s="81" t="s">
        <v>36</v>
      </c>
      <c r="P61" s="81" t="s">
        <v>37</v>
      </c>
      <c r="Q61" s="81" t="s">
        <v>38</v>
      </c>
      <c r="R61" s="81" t="s">
        <v>39</v>
      </c>
      <c r="S61" s="81">
        <v>1.288</v>
      </c>
      <c r="T61" s="81">
        <v>12675.37</v>
      </c>
      <c r="U61" s="81">
        <v>12586.64</v>
      </c>
      <c r="V61" s="81" t="s">
        <v>60</v>
      </c>
      <c r="W61" s="81">
        <v>1010000</v>
      </c>
      <c r="X61" s="81">
        <v>34.200400000000002</v>
      </c>
      <c r="Y61" s="81">
        <v>33.324199999999998</v>
      </c>
      <c r="Z61" s="81" t="s">
        <v>422</v>
      </c>
    </row>
    <row r="62" spans="1:26">
      <c r="A62" s="81" t="s">
        <v>286</v>
      </c>
      <c r="B62" s="82">
        <v>42623</v>
      </c>
      <c r="C62" s="81" t="s">
        <v>11</v>
      </c>
      <c r="D62" s="82">
        <v>60885</v>
      </c>
      <c r="E62" s="81" t="s">
        <v>10</v>
      </c>
      <c r="F62" s="81" t="s">
        <v>731</v>
      </c>
      <c r="G62" s="83">
        <v>2184000</v>
      </c>
      <c r="H62" s="83">
        <v>2184000</v>
      </c>
      <c r="I62" s="81" t="s">
        <v>33</v>
      </c>
      <c r="J62" s="81">
        <v>6</v>
      </c>
      <c r="K62" s="81">
        <v>1.5</v>
      </c>
      <c r="L62" s="81" t="s">
        <v>34</v>
      </c>
      <c r="M62" s="81" t="s">
        <v>34</v>
      </c>
      <c r="N62" s="81" t="s">
        <v>35</v>
      </c>
      <c r="O62" s="81" t="s">
        <v>36</v>
      </c>
      <c r="P62" s="81" t="s">
        <v>37</v>
      </c>
      <c r="Q62" s="81" t="s">
        <v>38</v>
      </c>
      <c r="R62" s="81" t="s">
        <v>39</v>
      </c>
      <c r="S62" s="81">
        <v>1.28</v>
      </c>
      <c r="T62" s="81">
        <v>10844.06</v>
      </c>
      <c r="U62" s="81">
        <v>10786.65</v>
      </c>
      <c r="V62" s="81" t="s">
        <v>60</v>
      </c>
      <c r="W62" s="81">
        <v>1010000</v>
      </c>
      <c r="X62" s="81">
        <v>35.113599999999998</v>
      </c>
      <c r="Y62" s="81">
        <v>34.247100000000003</v>
      </c>
      <c r="Z62" s="81" t="s">
        <v>287</v>
      </c>
    </row>
    <row r="63" spans="1:26">
      <c r="A63" s="81" t="s">
        <v>559</v>
      </c>
      <c r="B63" s="82">
        <v>43679</v>
      </c>
      <c r="C63" s="81" t="s">
        <v>10</v>
      </c>
      <c r="D63" s="82">
        <v>44410</v>
      </c>
      <c r="E63" s="81" t="s">
        <v>40</v>
      </c>
      <c r="F63" s="81" t="s">
        <v>732</v>
      </c>
      <c r="G63" s="83">
        <v>4400000</v>
      </c>
      <c r="H63" s="83">
        <v>4400000</v>
      </c>
      <c r="I63" s="81" t="s">
        <v>33</v>
      </c>
      <c r="J63" s="81">
        <v>3</v>
      </c>
      <c r="K63" s="81">
        <v>1.18</v>
      </c>
      <c r="L63" s="81" t="s">
        <v>34</v>
      </c>
      <c r="M63" s="81" t="s">
        <v>34</v>
      </c>
      <c r="N63" s="81" t="s">
        <v>35</v>
      </c>
      <c r="O63" s="81" t="s">
        <v>36</v>
      </c>
      <c r="P63" s="81" t="s">
        <v>37</v>
      </c>
      <c r="Q63" s="81" t="s">
        <v>38</v>
      </c>
      <c r="R63" s="81" t="s">
        <v>39</v>
      </c>
      <c r="S63" s="81">
        <v>1.1870000000000001</v>
      </c>
      <c r="T63" s="81">
        <v>10006.98</v>
      </c>
      <c r="U63" s="81">
        <v>9998.65</v>
      </c>
      <c r="V63" s="81" t="s">
        <v>66</v>
      </c>
      <c r="W63" s="81">
        <v>4000000</v>
      </c>
      <c r="X63" s="81">
        <v>1.9035</v>
      </c>
      <c r="Y63" s="81">
        <v>1.9083000000000001</v>
      </c>
      <c r="Z63" s="81" t="s">
        <v>560</v>
      </c>
    </row>
    <row r="64" spans="1:26">
      <c r="A64" s="81" t="s">
        <v>503</v>
      </c>
      <c r="B64" s="82">
        <v>43618</v>
      </c>
      <c r="C64" s="81" t="s">
        <v>13</v>
      </c>
      <c r="D64" s="82">
        <v>44349</v>
      </c>
      <c r="E64" s="81" t="s">
        <v>5</v>
      </c>
      <c r="F64" s="81" t="s">
        <v>733</v>
      </c>
      <c r="G64" s="83">
        <v>11700000</v>
      </c>
      <c r="H64" s="83">
        <v>11700000</v>
      </c>
      <c r="I64" s="81" t="s">
        <v>33</v>
      </c>
      <c r="J64" s="81">
        <v>3</v>
      </c>
      <c r="K64" s="81">
        <v>1.585</v>
      </c>
      <c r="L64" s="81" t="s">
        <v>34</v>
      </c>
      <c r="M64" s="81" t="s">
        <v>34</v>
      </c>
      <c r="N64" s="81" t="s">
        <v>35</v>
      </c>
      <c r="O64" s="81" t="s">
        <v>36</v>
      </c>
      <c r="P64" s="81" t="s">
        <v>37</v>
      </c>
      <c r="Q64" s="81" t="s">
        <v>38</v>
      </c>
      <c r="R64" s="81" t="s">
        <v>39</v>
      </c>
      <c r="S64" s="81">
        <v>1.208</v>
      </c>
      <c r="T64" s="81">
        <v>10103.14</v>
      </c>
      <c r="U64" s="81">
        <v>10065.33</v>
      </c>
      <c r="V64" s="81" t="s">
        <v>66</v>
      </c>
      <c r="W64" s="81">
        <v>4000000</v>
      </c>
      <c r="X64" s="81">
        <v>1.7312000000000001</v>
      </c>
      <c r="Y64" s="81">
        <v>1.7343</v>
      </c>
      <c r="Z64" s="81" t="s">
        <v>504</v>
      </c>
    </row>
    <row r="65" spans="1:26">
      <c r="A65" s="81" t="s">
        <v>475</v>
      </c>
      <c r="B65" s="82">
        <v>43557</v>
      </c>
      <c r="C65" s="81" t="s">
        <v>6</v>
      </c>
      <c r="D65" s="82">
        <v>44288</v>
      </c>
      <c r="E65" s="81" t="s">
        <v>10</v>
      </c>
      <c r="F65" s="81" t="s">
        <v>734</v>
      </c>
      <c r="G65" s="83">
        <v>13600000</v>
      </c>
      <c r="H65" s="83">
        <v>13600000</v>
      </c>
      <c r="I65" s="81" t="s">
        <v>33</v>
      </c>
      <c r="J65" s="81">
        <v>3</v>
      </c>
      <c r="K65" s="81">
        <v>1.74</v>
      </c>
      <c r="L65" s="81" t="s">
        <v>34</v>
      </c>
      <c r="M65" s="81" t="s">
        <v>34</v>
      </c>
      <c r="N65" s="81" t="s">
        <v>35</v>
      </c>
      <c r="O65" s="81" t="s">
        <v>36</v>
      </c>
      <c r="P65" s="81" t="s">
        <v>37</v>
      </c>
      <c r="Q65" s="81" t="s">
        <v>38</v>
      </c>
      <c r="R65" s="81" t="s">
        <v>39</v>
      </c>
      <c r="S65" s="81">
        <v>1.21</v>
      </c>
      <c r="T65" s="81">
        <v>10110.41</v>
      </c>
      <c r="U65" s="81">
        <v>10083.26</v>
      </c>
      <c r="V65" s="81" t="s">
        <v>66</v>
      </c>
      <c r="W65" s="81">
        <v>4000000</v>
      </c>
      <c r="X65" s="81">
        <v>1.5681</v>
      </c>
      <c r="Y65" s="81">
        <v>1.5721000000000001</v>
      </c>
      <c r="Z65" s="81" t="s">
        <v>476</v>
      </c>
    </row>
    <row r="66" spans="1:26">
      <c r="A66" s="81" t="s">
        <v>464</v>
      </c>
      <c r="B66" s="82">
        <v>43498</v>
      </c>
      <c r="C66" s="81" t="s">
        <v>11</v>
      </c>
      <c r="D66" s="82">
        <v>44229</v>
      </c>
      <c r="E66" s="81" t="s">
        <v>6</v>
      </c>
      <c r="F66" s="81" t="s">
        <v>654</v>
      </c>
      <c r="G66" s="83">
        <v>12950000</v>
      </c>
      <c r="H66" s="83">
        <v>12950000</v>
      </c>
      <c r="I66" s="81" t="s">
        <v>33</v>
      </c>
      <c r="J66" s="81">
        <v>3</v>
      </c>
      <c r="K66" s="81">
        <v>1.81</v>
      </c>
      <c r="L66" s="81" t="s">
        <v>34</v>
      </c>
      <c r="M66" s="81" t="s">
        <v>34</v>
      </c>
      <c r="N66" s="81" t="s">
        <v>35</v>
      </c>
      <c r="O66" s="81" t="s">
        <v>36</v>
      </c>
      <c r="P66" s="81" t="s">
        <v>37</v>
      </c>
      <c r="Q66" s="81" t="s">
        <v>38</v>
      </c>
      <c r="R66" s="81" t="s">
        <v>39</v>
      </c>
      <c r="S66" s="81">
        <v>1.1850000000000001</v>
      </c>
      <c r="T66" s="81">
        <v>10101.11</v>
      </c>
      <c r="U66" s="81">
        <v>10088.15</v>
      </c>
      <c r="V66" s="81" t="s">
        <v>66</v>
      </c>
      <c r="W66" s="81">
        <v>4000000</v>
      </c>
      <c r="X66" s="81">
        <v>1.4087000000000001</v>
      </c>
      <c r="Y66" s="81">
        <v>1.4160999999999999</v>
      </c>
      <c r="Z66" s="81" t="s">
        <v>465</v>
      </c>
    </row>
    <row r="67" spans="1:26">
      <c r="A67" s="81" t="s">
        <v>453</v>
      </c>
      <c r="B67" s="82">
        <v>43436</v>
      </c>
      <c r="C67" s="81" t="s">
        <v>13</v>
      </c>
      <c r="D67" s="82">
        <v>44167</v>
      </c>
      <c r="E67" s="81" t="s">
        <v>5</v>
      </c>
      <c r="F67" s="81" t="s">
        <v>735</v>
      </c>
      <c r="G67" s="83">
        <v>10900000</v>
      </c>
      <c r="H67" s="83">
        <v>10900000</v>
      </c>
      <c r="I67" s="81" t="s">
        <v>33</v>
      </c>
      <c r="J67" s="81">
        <v>3</v>
      </c>
      <c r="K67" s="81">
        <v>1.93</v>
      </c>
      <c r="L67" s="81" t="s">
        <v>34</v>
      </c>
      <c r="M67" s="81" t="s">
        <v>34</v>
      </c>
      <c r="N67" s="81" t="s">
        <v>35</v>
      </c>
      <c r="O67" s="81" t="s">
        <v>36</v>
      </c>
      <c r="P67" s="81" t="s">
        <v>37</v>
      </c>
      <c r="Q67" s="81" t="s">
        <v>38</v>
      </c>
      <c r="R67" s="81" t="s">
        <v>39</v>
      </c>
      <c r="S67" s="81">
        <v>1.1719999999999999</v>
      </c>
      <c r="T67" s="81">
        <v>10140.51</v>
      </c>
      <c r="U67" s="81">
        <v>10094.56</v>
      </c>
      <c r="V67" s="81" t="s">
        <v>66</v>
      </c>
      <c r="W67" s="81">
        <v>4000000</v>
      </c>
      <c r="X67" s="81">
        <v>1.2422</v>
      </c>
      <c r="Y67" s="81">
        <v>1.2452000000000001</v>
      </c>
      <c r="Z67" s="81" t="s">
        <v>454</v>
      </c>
    </row>
    <row r="68" spans="1:26">
      <c r="A68" s="81" t="s">
        <v>432</v>
      </c>
      <c r="B68" s="82">
        <v>43378</v>
      </c>
      <c r="C68" s="81" t="s">
        <v>10</v>
      </c>
      <c r="D68" s="82">
        <v>44109</v>
      </c>
      <c r="E68" s="81" t="s">
        <v>40</v>
      </c>
      <c r="F68" s="81" t="s">
        <v>736</v>
      </c>
      <c r="G68" s="83">
        <v>11320000</v>
      </c>
      <c r="H68" s="83">
        <v>11320000</v>
      </c>
      <c r="I68" s="81" t="s">
        <v>33</v>
      </c>
      <c r="J68" s="81">
        <v>3</v>
      </c>
      <c r="K68" s="81">
        <v>2.0499999999999998</v>
      </c>
      <c r="L68" s="81" t="s">
        <v>34</v>
      </c>
      <c r="M68" s="81" t="s">
        <v>34</v>
      </c>
      <c r="N68" s="81" t="s">
        <v>35</v>
      </c>
      <c r="O68" s="81" t="s">
        <v>36</v>
      </c>
      <c r="P68" s="81" t="s">
        <v>37</v>
      </c>
      <c r="Q68" s="81" t="s">
        <v>38</v>
      </c>
      <c r="R68" s="81" t="s">
        <v>39</v>
      </c>
      <c r="S68" s="81">
        <v>1.1599999999999999</v>
      </c>
      <c r="T68" s="81">
        <v>10127.469999999999</v>
      </c>
      <c r="U68" s="81">
        <v>10097.39</v>
      </c>
      <c r="V68" s="81" t="s">
        <v>66</v>
      </c>
      <c r="W68" s="81">
        <v>4000000</v>
      </c>
      <c r="X68" s="81">
        <v>1.0876999999999999</v>
      </c>
      <c r="Y68" s="81">
        <v>1.0914999999999999</v>
      </c>
      <c r="Z68" s="81" t="s">
        <v>433</v>
      </c>
    </row>
    <row r="69" spans="1:26">
      <c r="A69" s="81" t="s">
        <v>377</v>
      </c>
      <c r="B69" s="82">
        <v>43314</v>
      </c>
      <c r="C69" s="81" t="s">
        <v>4</v>
      </c>
      <c r="D69" s="82">
        <v>44045</v>
      </c>
      <c r="E69" s="81" t="s">
        <v>13</v>
      </c>
      <c r="F69" s="81" t="s">
        <v>737</v>
      </c>
      <c r="G69" s="83">
        <v>10690000</v>
      </c>
      <c r="H69" s="83">
        <v>10690000</v>
      </c>
      <c r="I69" s="81" t="s">
        <v>33</v>
      </c>
      <c r="J69" s="81">
        <v>3</v>
      </c>
      <c r="K69" s="81">
        <v>2.06</v>
      </c>
      <c r="L69" s="81" t="s">
        <v>34</v>
      </c>
      <c r="M69" s="81" t="s">
        <v>34</v>
      </c>
      <c r="N69" s="81" t="s">
        <v>35</v>
      </c>
      <c r="O69" s="81" t="s">
        <v>36</v>
      </c>
      <c r="P69" s="81" t="s">
        <v>37</v>
      </c>
      <c r="Q69" s="81" t="s">
        <v>38</v>
      </c>
      <c r="R69" s="81" t="s">
        <v>39</v>
      </c>
      <c r="S69" s="81">
        <v>1.165</v>
      </c>
      <c r="T69" s="81">
        <v>10097.129999999999</v>
      </c>
      <c r="U69" s="81">
        <v>10082.58</v>
      </c>
      <c r="V69" s="81" t="s">
        <v>66</v>
      </c>
      <c r="W69" s="81">
        <v>4000000</v>
      </c>
      <c r="X69" s="81">
        <v>0.91920000000000002</v>
      </c>
      <c r="Y69" s="81">
        <v>0.92130000000000001</v>
      </c>
      <c r="Z69" s="81" t="s">
        <v>378</v>
      </c>
    </row>
    <row r="70" spans="1:26">
      <c r="A70" s="81" t="s">
        <v>531</v>
      </c>
      <c r="B70" s="82">
        <v>43655</v>
      </c>
      <c r="C70" s="81" t="s">
        <v>6</v>
      </c>
      <c r="D70" s="82">
        <v>44021</v>
      </c>
      <c r="E70" s="81" t="s">
        <v>4</v>
      </c>
      <c r="F70" s="81" t="s">
        <v>738</v>
      </c>
      <c r="G70" s="83">
        <v>4140000</v>
      </c>
      <c r="H70" s="83">
        <v>4140000</v>
      </c>
      <c r="I70" s="81" t="s">
        <v>33</v>
      </c>
      <c r="J70" s="81">
        <v>3</v>
      </c>
      <c r="K70" s="81">
        <v>1.48</v>
      </c>
      <c r="L70" s="81" t="s">
        <v>34</v>
      </c>
      <c r="M70" s="81" t="s">
        <v>34</v>
      </c>
      <c r="N70" s="81" t="s">
        <v>35</v>
      </c>
      <c r="O70" s="81" t="s">
        <v>36</v>
      </c>
      <c r="P70" s="81" t="s">
        <v>37</v>
      </c>
      <c r="Q70" s="81" t="s">
        <v>38</v>
      </c>
      <c r="R70" s="81" t="s">
        <v>39</v>
      </c>
      <c r="S70" s="81">
        <v>1.1559999999999999</v>
      </c>
      <c r="T70" s="81">
        <v>10047.86</v>
      </c>
      <c r="U70" s="81">
        <v>10027.450000000001</v>
      </c>
      <c r="V70" s="81" t="s">
        <v>66</v>
      </c>
      <c r="W70" s="81">
        <v>4000000</v>
      </c>
      <c r="X70" s="81">
        <v>0.85629999999999995</v>
      </c>
      <c r="Y70" s="81">
        <v>0.8579</v>
      </c>
      <c r="Z70" s="81" t="s">
        <v>532</v>
      </c>
    </row>
    <row r="71" spans="1:26">
      <c r="A71" s="81" t="s">
        <v>364</v>
      </c>
      <c r="B71" s="82">
        <v>43253</v>
      </c>
      <c r="C71" s="81" t="s">
        <v>11</v>
      </c>
      <c r="D71" s="82">
        <v>43984</v>
      </c>
      <c r="E71" s="81" t="s">
        <v>6</v>
      </c>
      <c r="F71" s="81" t="s">
        <v>739</v>
      </c>
      <c r="G71" s="83">
        <v>12020000</v>
      </c>
      <c r="H71" s="83">
        <v>12020000</v>
      </c>
      <c r="I71" s="81" t="s">
        <v>33</v>
      </c>
      <c r="J71" s="81">
        <v>3</v>
      </c>
      <c r="K71" s="81">
        <v>2.14</v>
      </c>
      <c r="L71" s="81" t="s">
        <v>34</v>
      </c>
      <c r="M71" s="81" t="s">
        <v>34</v>
      </c>
      <c r="N71" s="81" t="s">
        <v>35</v>
      </c>
      <c r="O71" s="81" t="s">
        <v>36</v>
      </c>
      <c r="P71" s="81" t="s">
        <v>37</v>
      </c>
      <c r="Q71" s="81" t="s">
        <v>38</v>
      </c>
      <c r="R71" s="81" t="s">
        <v>39</v>
      </c>
      <c r="S71" s="81">
        <v>1.143</v>
      </c>
      <c r="T71" s="81">
        <v>10126.27</v>
      </c>
      <c r="U71" s="81">
        <v>10075.76</v>
      </c>
      <c r="V71" s="81" t="s">
        <v>66</v>
      </c>
      <c r="W71" s="81">
        <v>4000000</v>
      </c>
      <c r="X71" s="81">
        <v>0.75349999999999995</v>
      </c>
      <c r="Y71" s="81">
        <v>0.75429999999999997</v>
      </c>
      <c r="Z71" s="81" t="s">
        <v>365</v>
      </c>
    </row>
    <row r="72" spans="1:26">
      <c r="A72" s="81" t="s">
        <v>487</v>
      </c>
      <c r="B72" s="82">
        <v>43594</v>
      </c>
      <c r="C72" s="81" t="s">
        <v>4</v>
      </c>
      <c r="D72" s="82">
        <v>43960</v>
      </c>
      <c r="E72" s="81" t="s">
        <v>11</v>
      </c>
      <c r="F72" s="81" t="s">
        <v>740</v>
      </c>
      <c r="G72" s="83">
        <v>5100000</v>
      </c>
      <c r="H72" s="83">
        <v>5100000</v>
      </c>
      <c r="I72" s="81" t="s">
        <v>33</v>
      </c>
      <c r="J72" s="81">
        <v>3</v>
      </c>
      <c r="K72" s="81">
        <v>1.7150000000000001</v>
      </c>
      <c r="L72" s="81" t="s">
        <v>34</v>
      </c>
      <c r="M72" s="81" t="s">
        <v>34</v>
      </c>
      <c r="N72" s="81" t="s">
        <v>35</v>
      </c>
      <c r="O72" s="81" t="s">
        <v>36</v>
      </c>
      <c r="P72" s="81" t="s">
        <v>37</v>
      </c>
      <c r="Q72" s="81" t="s">
        <v>38</v>
      </c>
      <c r="R72" s="81" t="s">
        <v>39</v>
      </c>
      <c r="S72" s="81">
        <v>1.169</v>
      </c>
      <c r="T72" s="81">
        <v>10046.75</v>
      </c>
      <c r="U72" s="81">
        <v>10037.83</v>
      </c>
      <c r="V72" s="81" t="s">
        <v>66</v>
      </c>
      <c r="W72" s="81">
        <v>4000000</v>
      </c>
      <c r="X72" s="81">
        <v>0.69320000000000004</v>
      </c>
      <c r="Y72" s="81">
        <v>0.69350000000000001</v>
      </c>
      <c r="Z72" s="81" t="s">
        <v>488</v>
      </c>
    </row>
    <row r="73" spans="1:26">
      <c r="A73" s="81" t="s">
        <v>352</v>
      </c>
      <c r="B73" s="82">
        <v>43192</v>
      </c>
      <c r="C73" s="81" t="s">
        <v>40</v>
      </c>
      <c r="D73" s="82">
        <v>43923</v>
      </c>
      <c r="E73" s="81" t="s">
        <v>4</v>
      </c>
      <c r="F73" s="81" t="s">
        <v>741</v>
      </c>
      <c r="G73" s="83">
        <v>13240000</v>
      </c>
      <c r="H73" s="83">
        <v>11590000</v>
      </c>
      <c r="I73" s="81" t="s">
        <v>33</v>
      </c>
      <c r="J73" s="81">
        <v>3</v>
      </c>
      <c r="K73" s="81">
        <v>2.12</v>
      </c>
      <c r="L73" s="81" t="s">
        <v>34</v>
      </c>
      <c r="M73" s="81" t="s">
        <v>34</v>
      </c>
      <c r="N73" s="81" t="s">
        <v>35</v>
      </c>
      <c r="O73" s="81" t="s">
        <v>36</v>
      </c>
      <c r="P73" s="81" t="s">
        <v>37</v>
      </c>
      <c r="Q73" s="81" t="s">
        <v>38</v>
      </c>
      <c r="R73" s="81" t="s">
        <v>39</v>
      </c>
      <c r="S73" s="81">
        <v>1.1639999999999999</v>
      </c>
      <c r="T73" s="81">
        <v>10089.379999999999</v>
      </c>
      <c r="U73" s="81">
        <v>10056.41</v>
      </c>
      <c r="V73" s="81" t="s">
        <v>66</v>
      </c>
      <c r="W73" s="81">
        <v>4000000</v>
      </c>
      <c r="X73" s="81">
        <v>0.58960000000000001</v>
      </c>
      <c r="Y73" s="81">
        <v>0.5917</v>
      </c>
      <c r="Z73" s="81" t="s">
        <v>353</v>
      </c>
    </row>
    <row r="74" spans="1:26">
      <c r="A74" s="81" t="s">
        <v>469</v>
      </c>
      <c r="B74" s="82">
        <v>43533</v>
      </c>
      <c r="C74" s="81" t="s">
        <v>11</v>
      </c>
      <c r="D74" s="82">
        <v>43899</v>
      </c>
      <c r="E74" s="81" t="s">
        <v>40</v>
      </c>
      <c r="F74" s="81" t="s">
        <v>742</v>
      </c>
      <c r="G74" s="83">
        <v>5850000</v>
      </c>
      <c r="H74" s="83">
        <v>5850000</v>
      </c>
      <c r="I74" s="81" t="s">
        <v>33</v>
      </c>
      <c r="J74" s="81">
        <v>3</v>
      </c>
      <c r="K74" s="81">
        <v>1.83</v>
      </c>
      <c r="L74" s="81" t="s">
        <v>34</v>
      </c>
      <c r="M74" s="81" t="s">
        <v>34</v>
      </c>
      <c r="N74" s="81" t="s">
        <v>35</v>
      </c>
      <c r="O74" s="81" t="s">
        <v>36</v>
      </c>
      <c r="P74" s="81" t="s">
        <v>37</v>
      </c>
      <c r="Q74" s="81" t="s">
        <v>38</v>
      </c>
      <c r="R74" s="81" t="s">
        <v>39</v>
      </c>
      <c r="S74" s="81">
        <v>1.1870000000000001</v>
      </c>
      <c r="T74" s="81">
        <v>10073.83</v>
      </c>
      <c r="U74" s="81">
        <v>10034.34</v>
      </c>
      <c r="V74" s="81" t="s">
        <v>66</v>
      </c>
      <c r="W74" s="81">
        <v>4000000</v>
      </c>
      <c r="X74" s="81">
        <v>0.52769999999999995</v>
      </c>
      <c r="Y74" s="81">
        <v>0.52659999999999996</v>
      </c>
      <c r="Z74" s="81" t="s">
        <v>470</v>
      </c>
    </row>
    <row r="75" spans="1:26">
      <c r="A75" s="81" t="s">
        <v>581</v>
      </c>
      <c r="B75" s="82">
        <v>43697</v>
      </c>
      <c r="C75" s="81" t="s">
        <v>6</v>
      </c>
      <c r="D75" s="82">
        <v>43879</v>
      </c>
      <c r="E75" s="81" t="s">
        <v>6</v>
      </c>
      <c r="F75" s="81" t="s">
        <v>743</v>
      </c>
      <c r="G75" s="83">
        <v>300000</v>
      </c>
      <c r="H75" s="83">
        <v>300000</v>
      </c>
      <c r="I75" s="81" t="s">
        <v>8</v>
      </c>
      <c r="J75" s="81">
        <v>12</v>
      </c>
      <c r="K75" s="81">
        <v>1.1830000000000001</v>
      </c>
      <c r="L75" s="81" t="s">
        <v>34</v>
      </c>
      <c r="M75" s="81" t="s">
        <v>34</v>
      </c>
      <c r="N75" s="81" t="s">
        <v>35</v>
      </c>
      <c r="O75" s="81" t="s">
        <v>36</v>
      </c>
      <c r="P75" s="81" t="s">
        <v>37</v>
      </c>
      <c r="Q75" s="81" t="s">
        <v>38</v>
      </c>
      <c r="R75" s="81" t="s">
        <v>39</v>
      </c>
      <c r="S75" s="81">
        <v>1.1879999999999999</v>
      </c>
      <c r="T75" s="81">
        <v>9943.66</v>
      </c>
      <c r="U75" s="81">
        <v>9944.06</v>
      </c>
      <c r="V75" s="81" t="s">
        <v>66</v>
      </c>
      <c r="W75" s="81">
        <v>4000000</v>
      </c>
      <c r="X75" s="81">
        <v>0.47399999999999998</v>
      </c>
      <c r="Y75" s="81">
        <v>0.47539999999999999</v>
      </c>
      <c r="Z75" s="81" t="s">
        <v>582</v>
      </c>
    </row>
    <row r="76" spans="1:26">
      <c r="A76" s="81" t="s">
        <v>555</v>
      </c>
      <c r="B76" s="82">
        <v>43683</v>
      </c>
      <c r="C76" s="81" t="s">
        <v>6</v>
      </c>
      <c r="D76" s="82">
        <v>43865</v>
      </c>
      <c r="E76" s="81" t="s">
        <v>6</v>
      </c>
      <c r="F76" s="81" t="s">
        <v>646</v>
      </c>
      <c r="G76" s="83">
        <v>300000</v>
      </c>
      <c r="H76" s="83">
        <v>300000</v>
      </c>
      <c r="I76" s="81" t="s">
        <v>8</v>
      </c>
      <c r="J76" s="81">
        <v>12</v>
      </c>
      <c r="K76" s="81">
        <v>1.2909999999999999</v>
      </c>
      <c r="L76" s="81" t="s">
        <v>34</v>
      </c>
      <c r="M76" s="81" t="s">
        <v>34</v>
      </c>
      <c r="N76" s="81" t="s">
        <v>35</v>
      </c>
      <c r="O76" s="81" t="s">
        <v>36</v>
      </c>
      <c r="P76" s="81" t="s">
        <v>37</v>
      </c>
      <c r="Q76" s="81" t="s">
        <v>38</v>
      </c>
      <c r="R76" s="81" t="s">
        <v>39</v>
      </c>
      <c r="S76" s="81">
        <v>1.208</v>
      </c>
      <c r="T76" s="81">
        <v>9947.2999999999993</v>
      </c>
      <c r="U76" s="81">
        <v>9947.4500000000007</v>
      </c>
      <c r="V76" s="81" t="s">
        <v>66</v>
      </c>
      <c r="W76" s="81">
        <v>4000000</v>
      </c>
      <c r="X76" s="81">
        <v>0.436</v>
      </c>
      <c r="Y76" s="81">
        <v>0.43709999999999999</v>
      </c>
      <c r="Z76" s="81" t="s">
        <v>556</v>
      </c>
    </row>
    <row r="77" spans="1:26">
      <c r="A77" s="81" t="s">
        <v>342</v>
      </c>
      <c r="B77" s="82">
        <v>43133</v>
      </c>
      <c r="C77" s="81" t="s">
        <v>10</v>
      </c>
      <c r="D77" s="82">
        <v>43863</v>
      </c>
      <c r="E77" s="81" t="s">
        <v>13</v>
      </c>
      <c r="F77" s="81" t="s">
        <v>744</v>
      </c>
      <c r="G77" s="83">
        <v>12110000</v>
      </c>
      <c r="H77" s="83">
        <v>9460000</v>
      </c>
      <c r="I77" s="81" t="s">
        <v>33</v>
      </c>
      <c r="J77" s="81">
        <v>3</v>
      </c>
      <c r="K77" s="81">
        <v>2.16</v>
      </c>
      <c r="L77" s="81" t="s">
        <v>34</v>
      </c>
      <c r="M77" s="81" t="s">
        <v>34</v>
      </c>
      <c r="N77" s="81" t="s">
        <v>35</v>
      </c>
      <c r="O77" s="81" t="s">
        <v>36</v>
      </c>
      <c r="P77" s="81" t="s">
        <v>37</v>
      </c>
      <c r="Q77" s="81" t="s">
        <v>38</v>
      </c>
      <c r="R77" s="81" t="s">
        <v>39</v>
      </c>
      <c r="S77" s="81">
        <v>1.19</v>
      </c>
      <c r="T77" s="81">
        <v>10056.700000000001</v>
      </c>
      <c r="U77" s="81">
        <v>10041.66</v>
      </c>
      <c r="V77" s="81" t="s">
        <v>66</v>
      </c>
      <c r="W77" s="81">
        <v>4000000</v>
      </c>
      <c r="X77" s="81">
        <v>0.42680000000000001</v>
      </c>
      <c r="Y77" s="81">
        <v>0.43030000000000002</v>
      </c>
      <c r="Z77" s="81" t="s">
        <v>343</v>
      </c>
    </row>
    <row r="78" spans="1:26">
      <c r="A78" s="81" t="s">
        <v>540</v>
      </c>
      <c r="B78" s="82">
        <v>43662</v>
      </c>
      <c r="C78" s="81" t="s">
        <v>6</v>
      </c>
      <c r="D78" s="82">
        <v>43844</v>
      </c>
      <c r="E78" s="81" t="s">
        <v>6</v>
      </c>
      <c r="F78" s="81" t="s">
        <v>745</v>
      </c>
      <c r="G78" s="83">
        <v>300000</v>
      </c>
      <c r="H78" s="83">
        <v>300000</v>
      </c>
      <c r="I78" s="81" t="s">
        <v>8</v>
      </c>
      <c r="J78" s="81">
        <v>12</v>
      </c>
      <c r="K78" s="81">
        <v>1.46</v>
      </c>
      <c r="L78" s="81" t="s">
        <v>34</v>
      </c>
      <c r="M78" s="81" t="s">
        <v>34</v>
      </c>
      <c r="N78" s="81" t="s">
        <v>35</v>
      </c>
      <c r="O78" s="81" t="s">
        <v>36</v>
      </c>
      <c r="P78" s="81" t="s">
        <v>37</v>
      </c>
      <c r="Q78" s="81" t="s">
        <v>38</v>
      </c>
      <c r="R78" s="81" t="s">
        <v>39</v>
      </c>
      <c r="S78" s="81">
        <v>1.2150000000000001</v>
      </c>
      <c r="T78" s="81">
        <v>9953.94</v>
      </c>
      <c r="U78" s="81">
        <v>9954.1299999999992</v>
      </c>
      <c r="V78" s="81" t="s">
        <v>66</v>
      </c>
      <c r="W78" s="81">
        <v>4000000</v>
      </c>
      <c r="X78" s="81">
        <v>0.379</v>
      </c>
      <c r="Y78" s="81">
        <v>0.37969999999999998</v>
      </c>
      <c r="Z78" s="81" t="s">
        <v>541</v>
      </c>
    </row>
    <row r="79" spans="1:26">
      <c r="A79" s="81" t="s">
        <v>460</v>
      </c>
      <c r="B79" s="82">
        <v>43474</v>
      </c>
      <c r="C79" s="81" t="s">
        <v>5</v>
      </c>
      <c r="D79" s="82">
        <v>43839</v>
      </c>
      <c r="E79" s="81" t="s">
        <v>4</v>
      </c>
      <c r="F79" s="81" t="s">
        <v>746</v>
      </c>
      <c r="G79" s="83">
        <v>5180000</v>
      </c>
      <c r="H79" s="83">
        <v>5180000</v>
      </c>
      <c r="I79" s="81" t="s">
        <v>33</v>
      </c>
      <c r="J79" s="81">
        <v>3</v>
      </c>
      <c r="K79" s="81">
        <v>1.82</v>
      </c>
      <c r="L79" s="81" t="s">
        <v>34</v>
      </c>
      <c r="M79" s="81" t="s">
        <v>34</v>
      </c>
      <c r="N79" s="81" t="s">
        <v>35</v>
      </c>
      <c r="O79" s="81" t="s">
        <v>36</v>
      </c>
      <c r="P79" s="81" t="s">
        <v>37</v>
      </c>
      <c r="Q79" s="81" t="s">
        <v>38</v>
      </c>
      <c r="R79" s="81" t="s">
        <v>39</v>
      </c>
      <c r="S79" s="81">
        <v>1.2210000000000001</v>
      </c>
      <c r="T79" s="81">
        <v>10046.41</v>
      </c>
      <c r="U79" s="81">
        <v>10021.85</v>
      </c>
      <c r="V79" s="81" t="s">
        <v>66</v>
      </c>
      <c r="W79" s="81">
        <v>4000000</v>
      </c>
      <c r="X79" s="81">
        <v>0.36199999999999999</v>
      </c>
      <c r="Y79" s="81">
        <v>0.3649</v>
      </c>
      <c r="Z79" s="81" t="s">
        <v>461</v>
      </c>
    </row>
    <row r="80" spans="1:26">
      <c r="A80" s="81" t="s">
        <v>525</v>
      </c>
      <c r="B80" s="82">
        <v>43648</v>
      </c>
      <c r="C80" s="81" t="s">
        <v>6</v>
      </c>
      <c r="D80" s="82">
        <v>43830</v>
      </c>
      <c r="E80" s="81" t="s">
        <v>6</v>
      </c>
      <c r="F80" s="81" t="s">
        <v>747</v>
      </c>
      <c r="G80" s="83">
        <v>300000</v>
      </c>
      <c r="H80" s="83">
        <v>300000</v>
      </c>
      <c r="I80" s="81" t="s">
        <v>8</v>
      </c>
      <c r="J80" s="81">
        <v>12</v>
      </c>
      <c r="K80" s="81">
        <v>1.528</v>
      </c>
      <c r="L80" s="81" t="s">
        <v>34</v>
      </c>
      <c r="M80" s="81" t="s">
        <v>34</v>
      </c>
      <c r="N80" s="81" t="s">
        <v>35</v>
      </c>
      <c r="O80" s="81" t="s">
        <v>36</v>
      </c>
      <c r="P80" s="81" t="s">
        <v>37</v>
      </c>
      <c r="Q80" s="81" t="s">
        <v>38</v>
      </c>
      <c r="R80" s="81" t="s">
        <v>39</v>
      </c>
      <c r="S80" s="81">
        <v>1.23</v>
      </c>
      <c r="T80" s="81">
        <v>9958.0499999999993</v>
      </c>
      <c r="U80" s="81">
        <v>9958.2199999999993</v>
      </c>
      <c r="V80" s="81" t="s">
        <v>66</v>
      </c>
      <c r="W80" s="81">
        <v>4000000</v>
      </c>
      <c r="X80" s="81">
        <v>0.34100000000000003</v>
      </c>
      <c r="Y80" s="81">
        <v>0.34150000000000003</v>
      </c>
      <c r="Z80" s="81" t="s">
        <v>526</v>
      </c>
    </row>
    <row r="81" spans="1:26">
      <c r="A81" s="81" t="s">
        <v>515</v>
      </c>
      <c r="B81" s="82">
        <v>43634</v>
      </c>
      <c r="C81" s="81" t="s">
        <v>6</v>
      </c>
      <c r="D81" s="82">
        <v>43816</v>
      </c>
      <c r="E81" s="81" t="s">
        <v>6</v>
      </c>
      <c r="F81" s="81" t="s">
        <v>748</v>
      </c>
      <c r="G81" s="83">
        <v>300000</v>
      </c>
      <c r="H81" s="83">
        <v>300000</v>
      </c>
      <c r="I81" s="81" t="s">
        <v>8</v>
      </c>
      <c r="J81" s="81">
        <v>12</v>
      </c>
      <c r="K81" s="81">
        <v>1.528</v>
      </c>
      <c r="L81" s="81" t="s">
        <v>34</v>
      </c>
      <c r="M81" s="81" t="s">
        <v>34</v>
      </c>
      <c r="N81" s="81" t="s">
        <v>35</v>
      </c>
      <c r="O81" s="81" t="s">
        <v>36</v>
      </c>
      <c r="P81" s="81" t="s">
        <v>37</v>
      </c>
      <c r="Q81" s="81" t="s">
        <v>38</v>
      </c>
      <c r="R81" s="81" t="s">
        <v>39</v>
      </c>
      <c r="S81" s="81">
        <v>1.234</v>
      </c>
      <c r="T81" s="81">
        <v>9962.59</v>
      </c>
      <c r="U81" s="81">
        <v>9962.82</v>
      </c>
      <c r="V81" s="81" t="s">
        <v>66</v>
      </c>
      <c r="W81" s="81">
        <v>4000000</v>
      </c>
      <c r="X81" s="81">
        <v>0.3029</v>
      </c>
      <c r="Y81" s="81">
        <v>0.30320000000000003</v>
      </c>
      <c r="Z81" s="81" t="s">
        <v>516</v>
      </c>
    </row>
    <row r="82" spans="1:26">
      <c r="A82" s="81" t="s">
        <v>497</v>
      </c>
      <c r="B82" s="82">
        <v>43620</v>
      </c>
      <c r="C82" s="81" t="s">
        <v>6</v>
      </c>
      <c r="D82" s="82">
        <v>43802</v>
      </c>
      <c r="E82" s="81" t="s">
        <v>6</v>
      </c>
      <c r="F82" s="81" t="s">
        <v>660</v>
      </c>
      <c r="G82" s="83">
        <v>300000</v>
      </c>
      <c r="H82" s="83">
        <v>300000</v>
      </c>
      <c r="I82" s="81" t="s">
        <v>8</v>
      </c>
      <c r="J82" s="81">
        <v>12</v>
      </c>
      <c r="K82" s="81">
        <v>1.607</v>
      </c>
      <c r="L82" s="81" t="s">
        <v>34</v>
      </c>
      <c r="M82" s="81" t="s">
        <v>34</v>
      </c>
      <c r="N82" s="81" t="s">
        <v>35</v>
      </c>
      <c r="O82" s="81" t="s">
        <v>36</v>
      </c>
      <c r="P82" s="81" t="s">
        <v>37</v>
      </c>
      <c r="Q82" s="81" t="s">
        <v>38</v>
      </c>
      <c r="R82" s="81" t="s">
        <v>39</v>
      </c>
      <c r="S82" s="81">
        <v>1.2390000000000001</v>
      </c>
      <c r="T82" s="81">
        <v>9967.17</v>
      </c>
      <c r="U82" s="81">
        <v>9967.41</v>
      </c>
      <c r="V82" s="81" t="s">
        <v>66</v>
      </c>
      <c r="W82" s="81">
        <v>4000000</v>
      </c>
      <c r="X82" s="81">
        <v>0.26479999999999998</v>
      </c>
      <c r="Y82" s="81">
        <v>0.26500000000000001</v>
      </c>
      <c r="Z82" s="81" t="s">
        <v>498</v>
      </c>
    </row>
    <row r="83" spans="1:26">
      <c r="A83" s="81" t="s">
        <v>332</v>
      </c>
      <c r="B83" s="82">
        <v>43071</v>
      </c>
      <c r="C83" s="81" t="s">
        <v>11</v>
      </c>
      <c r="D83" s="82">
        <v>43801</v>
      </c>
      <c r="E83" s="81" t="s">
        <v>40</v>
      </c>
      <c r="F83" s="81" t="s">
        <v>749</v>
      </c>
      <c r="G83" s="83">
        <v>12440000</v>
      </c>
      <c r="H83" s="83">
        <v>10330000</v>
      </c>
      <c r="I83" s="81" t="s">
        <v>33</v>
      </c>
      <c r="J83" s="81">
        <v>3</v>
      </c>
      <c r="K83" s="81">
        <v>2.06</v>
      </c>
      <c r="L83" s="81" t="s">
        <v>34</v>
      </c>
      <c r="M83" s="81" t="s">
        <v>34</v>
      </c>
      <c r="N83" s="81" t="s">
        <v>35</v>
      </c>
      <c r="O83" s="81" t="s">
        <v>36</v>
      </c>
      <c r="P83" s="81" t="s">
        <v>37</v>
      </c>
      <c r="Q83" s="81" t="s">
        <v>38</v>
      </c>
      <c r="R83" s="81" t="s">
        <v>39</v>
      </c>
      <c r="S83" s="81">
        <v>1.24</v>
      </c>
      <c r="T83" s="81">
        <v>10070.209999999999</v>
      </c>
      <c r="U83" s="81">
        <v>10021.799999999999</v>
      </c>
      <c r="V83" s="81" t="s">
        <v>66</v>
      </c>
      <c r="W83" s="81">
        <v>4000000</v>
      </c>
      <c r="X83" s="81">
        <v>0.26150000000000001</v>
      </c>
      <c r="Y83" s="81">
        <v>0.26100000000000001</v>
      </c>
      <c r="Z83" s="81" t="s">
        <v>333</v>
      </c>
    </row>
    <row r="84" spans="1:26">
      <c r="A84" s="81" t="s">
        <v>661</v>
      </c>
      <c r="B84" s="82">
        <v>43704</v>
      </c>
      <c r="C84" s="81" t="s">
        <v>6</v>
      </c>
      <c r="D84" s="82">
        <v>43795</v>
      </c>
      <c r="E84" s="81" t="s">
        <v>6</v>
      </c>
      <c r="F84" s="81" t="s">
        <v>750</v>
      </c>
      <c r="G84" s="83">
        <v>800000</v>
      </c>
      <c r="H84" s="83">
        <v>800000</v>
      </c>
      <c r="I84" s="81" t="s">
        <v>8</v>
      </c>
      <c r="J84" s="81">
        <v>12</v>
      </c>
      <c r="K84" s="81">
        <v>1.266</v>
      </c>
      <c r="L84" s="81" t="s">
        <v>34</v>
      </c>
      <c r="M84" s="81" t="s">
        <v>34</v>
      </c>
      <c r="N84" s="81" t="s">
        <v>35</v>
      </c>
      <c r="O84" s="81" t="s">
        <v>36</v>
      </c>
      <c r="P84" s="81" t="s">
        <v>37</v>
      </c>
      <c r="Q84" s="81" t="s">
        <v>38</v>
      </c>
      <c r="R84" s="81" t="s">
        <v>39</v>
      </c>
      <c r="S84" s="81">
        <v>1.272</v>
      </c>
      <c r="T84" s="81">
        <v>9968.7199999999993</v>
      </c>
      <c r="U84" s="81">
        <v>9968.73</v>
      </c>
      <c r="V84" s="81" t="s">
        <v>66</v>
      </c>
      <c r="W84" s="81">
        <v>4000000</v>
      </c>
      <c r="X84" s="81">
        <v>0.24579999999999999</v>
      </c>
      <c r="Y84" s="81">
        <v>0.24590000000000001</v>
      </c>
      <c r="Z84" s="81" t="s">
        <v>662</v>
      </c>
    </row>
    <row r="85" spans="1:26">
      <c r="A85" s="81" t="s">
        <v>489</v>
      </c>
      <c r="B85" s="82">
        <v>43606</v>
      </c>
      <c r="C85" s="81" t="s">
        <v>6</v>
      </c>
      <c r="D85" s="82">
        <v>43788</v>
      </c>
      <c r="E85" s="81" t="s">
        <v>6</v>
      </c>
      <c r="F85" s="81" t="s">
        <v>751</v>
      </c>
      <c r="G85" s="83">
        <v>300000</v>
      </c>
      <c r="H85" s="83">
        <v>300000</v>
      </c>
      <c r="I85" s="81" t="s">
        <v>8</v>
      </c>
      <c r="J85" s="81">
        <v>12</v>
      </c>
      <c r="K85" s="81">
        <v>1.637</v>
      </c>
      <c r="L85" s="81" t="s">
        <v>34</v>
      </c>
      <c r="M85" s="81" t="s">
        <v>34</v>
      </c>
      <c r="N85" s="81" t="s">
        <v>35</v>
      </c>
      <c r="O85" s="81" t="s">
        <v>36</v>
      </c>
      <c r="P85" s="81" t="s">
        <v>37</v>
      </c>
      <c r="Q85" s="81" t="s">
        <v>38</v>
      </c>
      <c r="R85" s="81" t="s">
        <v>39</v>
      </c>
      <c r="S85" s="81">
        <v>1.2549999999999999</v>
      </c>
      <c r="T85" s="81">
        <v>9971.5300000000007</v>
      </c>
      <c r="U85" s="81">
        <v>9971.5400000000009</v>
      </c>
      <c r="V85" s="81" t="s">
        <v>66</v>
      </c>
      <c r="W85" s="81">
        <v>4000000</v>
      </c>
      <c r="X85" s="81">
        <v>0.22670000000000001</v>
      </c>
      <c r="Y85" s="81">
        <v>0.22670000000000001</v>
      </c>
      <c r="Z85" s="81" t="s">
        <v>490</v>
      </c>
    </row>
    <row r="86" spans="1:26">
      <c r="A86" s="81" t="s">
        <v>583</v>
      </c>
      <c r="B86" s="82">
        <v>43697</v>
      </c>
      <c r="C86" s="81" t="s">
        <v>6</v>
      </c>
      <c r="D86" s="82">
        <v>43788</v>
      </c>
      <c r="E86" s="81" t="s">
        <v>6</v>
      </c>
      <c r="F86" s="81" t="s">
        <v>751</v>
      </c>
      <c r="G86" s="83">
        <v>900000</v>
      </c>
      <c r="H86" s="83">
        <v>900000</v>
      </c>
      <c r="I86" s="81" t="s">
        <v>8</v>
      </c>
      <c r="J86" s="81">
        <v>12</v>
      </c>
      <c r="K86" s="81">
        <v>1.266</v>
      </c>
      <c r="L86" s="81" t="s">
        <v>34</v>
      </c>
      <c r="M86" s="81" t="s">
        <v>34</v>
      </c>
      <c r="N86" s="81" t="s">
        <v>35</v>
      </c>
      <c r="O86" s="81" t="s">
        <v>36</v>
      </c>
      <c r="P86" s="81" t="s">
        <v>37</v>
      </c>
      <c r="Q86" s="81" t="s">
        <v>38</v>
      </c>
      <c r="R86" s="81" t="s">
        <v>39</v>
      </c>
      <c r="S86" s="81">
        <v>1.256</v>
      </c>
      <c r="T86" s="81">
        <v>9971.5</v>
      </c>
      <c r="U86" s="81">
        <v>9971.5400000000009</v>
      </c>
      <c r="V86" s="81" t="s">
        <v>66</v>
      </c>
      <c r="W86" s="81">
        <v>4000000</v>
      </c>
      <c r="X86" s="81">
        <v>0.22670000000000001</v>
      </c>
      <c r="Y86" s="81">
        <v>0.22670000000000001</v>
      </c>
      <c r="Z86" s="81" t="s">
        <v>584</v>
      </c>
    </row>
    <row r="87" spans="1:26">
      <c r="A87" s="81" t="s">
        <v>576</v>
      </c>
      <c r="B87" s="82">
        <v>43690</v>
      </c>
      <c r="C87" s="81" t="s">
        <v>6</v>
      </c>
      <c r="D87" s="82">
        <v>43781</v>
      </c>
      <c r="E87" s="81" t="s">
        <v>6</v>
      </c>
      <c r="F87" s="81" t="s">
        <v>752</v>
      </c>
      <c r="G87" s="83">
        <v>900000</v>
      </c>
      <c r="H87" s="83">
        <v>900000</v>
      </c>
      <c r="I87" s="81" t="s">
        <v>8</v>
      </c>
      <c r="J87" s="81">
        <v>12</v>
      </c>
      <c r="K87" s="81">
        <v>1.2769999999999999</v>
      </c>
      <c r="L87" s="81" t="s">
        <v>34</v>
      </c>
      <c r="M87" s="81" t="s">
        <v>34</v>
      </c>
      <c r="N87" s="81" t="s">
        <v>35</v>
      </c>
      <c r="O87" s="81" t="s">
        <v>36</v>
      </c>
      <c r="P87" s="81" t="s">
        <v>37</v>
      </c>
      <c r="Q87" s="81" t="s">
        <v>38</v>
      </c>
      <c r="R87" s="81" t="s">
        <v>39</v>
      </c>
      <c r="S87" s="81">
        <v>1.2609999999999999</v>
      </c>
      <c r="T87" s="81">
        <v>9973.7900000000009</v>
      </c>
      <c r="U87" s="81">
        <v>9973.83</v>
      </c>
      <c r="V87" s="81" t="s">
        <v>66</v>
      </c>
      <c r="W87" s="81">
        <v>4000000</v>
      </c>
      <c r="X87" s="81">
        <v>0.20760000000000001</v>
      </c>
      <c r="Y87" s="81">
        <v>0.20760000000000001</v>
      </c>
      <c r="Z87" s="81" t="s">
        <v>577</v>
      </c>
    </row>
    <row r="88" spans="1:26">
      <c r="A88" s="81" t="s">
        <v>451</v>
      </c>
      <c r="B88" s="82">
        <v>43413</v>
      </c>
      <c r="C88" s="81" t="s">
        <v>10</v>
      </c>
      <c r="D88" s="82">
        <v>43778</v>
      </c>
      <c r="E88" s="81" t="s">
        <v>11</v>
      </c>
      <c r="F88" s="81" t="s">
        <v>753</v>
      </c>
      <c r="G88" s="83">
        <v>4680000</v>
      </c>
      <c r="H88" s="83">
        <v>3960000</v>
      </c>
      <c r="I88" s="81" t="s">
        <v>33</v>
      </c>
      <c r="J88" s="81">
        <v>3</v>
      </c>
      <c r="K88" s="81">
        <v>1.87</v>
      </c>
      <c r="L88" s="81" t="s">
        <v>34</v>
      </c>
      <c r="M88" s="81" t="s">
        <v>34</v>
      </c>
      <c r="N88" s="81" t="s">
        <v>35</v>
      </c>
      <c r="O88" s="81" t="s">
        <v>36</v>
      </c>
      <c r="P88" s="81" t="s">
        <v>37</v>
      </c>
      <c r="Q88" s="81" t="s">
        <v>38</v>
      </c>
      <c r="R88" s="81" t="s">
        <v>39</v>
      </c>
      <c r="S88" s="81">
        <v>1.2629999999999999</v>
      </c>
      <c r="T88" s="81">
        <v>10021.629999999999</v>
      </c>
      <c r="U88" s="81">
        <v>10012.049999999999</v>
      </c>
      <c r="V88" s="81" t="s">
        <v>66</v>
      </c>
      <c r="W88" s="81">
        <v>4000000</v>
      </c>
      <c r="X88" s="81">
        <v>0.1978</v>
      </c>
      <c r="Y88" s="81">
        <v>0.19939999999999999</v>
      </c>
      <c r="Z88" s="81" t="s">
        <v>452</v>
      </c>
    </row>
    <row r="89" spans="1:26">
      <c r="A89" s="81" t="s">
        <v>485</v>
      </c>
      <c r="B89" s="82">
        <v>43592</v>
      </c>
      <c r="C89" s="81" t="s">
        <v>6</v>
      </c>
      <c r="D89" s="82">
        <v>43774</v>
      </c>
      <c r="E89" s="81" t="s">
        <v>6</v>
      </c>
      <c r="F89" s="81" t="s">
        <v>754</v>
      </c>
      <c r="G89" s="83">
        <v>300000</v>
      </c>
      <c r="H89" s="83">
        <v>300000</v>
      </c>
      <c r="I89" s="81" t="s">
        <v>8</v>
      </c>
      <c r="J89" s="81">
        <v>12</v>
      </c>
      <c r="K89" s="81">
        <v>1.716</v>
      </c>
      <c r="L89" s="81" t="s">
        <v>34</v>
      </c>
      <c r="M89" s="81" t="s">
        <v>34</v>
      </c>
      <c r="N89" s="81" t="s">
        <v>35</v>
      </c>
      <c r="O89" s="81" t="s">
        <v>36</v>
      </c>
      <c r="P89" s="81" t="s">
        <v>37</v>
      </c>
      <c r="Q89" s="81" t="s">
        <v>38</v>
      </c>
      <c r="R89" s="81" t="s">
        <v>39</v>
      </c>
      <c r="S89" s="81">
        <v>1.2749999999999999</v>
      </c>
      <c r="T89" s="81">
        <v>9975.9500000000007</v>
      </c>
      <c r="U89" s="81">
        <v>9975.86</v>
      </c>
      <c r="V89" s="81" t="s">
        <v>66</v>
      </c>
      <c r="W89" s="81">
        <v>4000000</v>
      </c>
      <c r="X89" s="81">
        <v>0.1885</v>
      </c>
      <c r="Y89" s="81">
        <v>0.1885</v>
      </c>
      <c r="Z89" s="81" t="s">
        <v>486</v>
      </c>
    </row>
    <row r="90" spans="1:26">
      <c r="A90" s="81" t="s">
        <v>557</v>
      </c>
      <c r="B90" s="82">
        <v>43683</v>
      </c>
      <c r="C90" s="81" t="s">
        <v>6</v>
      </c>
      <c r="D90" s="82">
        <v>43774</v>
      </c>
      <c r="E90" s="81" t="s">
        <v>6</v>
      </c>
      <c r="F90" s="81" t="s">
        <v>754</v>
      </c>
      <c r="G90" s="83">
        <v>900000</v>
      </c>
      <c r="H90" s="83">
        <v>900000</v>
      </c>
      <c r="I90" s="81" t="s">
        <v>8</v>
      </c>
      <c r="J90" s="81">
        <v>12</v>
      </c>
      <c r="K90" s="81">
        <v>1.3360000000000001</v>
      </c>
      <c r="L90" s="81" t="s">
        <v>34</v>
      </c>
      <c r="M90" s="81" t="s">
        <v>34</v>
      </c>
      <c r="N90" s="81" t="s">
        <v>35</v>
      </c>
      <c r="O90" s="81" t="s">
        <v>36</v>
      </c>
      <c r="P90" s="81" t="s">
        <v>37</v>
      </c>
      <c r="Q90" s="81" t="s">
        <v>38</v>
      </c>
      <c r="R90" s="81" t="s">
        <v>39</v>
      </c>
      <c r="S90" s="81">
        <v>1.2749999999999999</v>
      </c>
      <c r="T90" s="81">
        <v>9975.9500000000007</v>
      </c>
      <c r="U90" s="81">
        <v>9975.86</v>
      </c>
      <c r="V90" s="81" t="s">
        <v>66</v>
      </c>
      <c r="W90" s="81">
        <v>4000000</v>
      </c>
      <c r="X90" s="81">
        <v>0.1885</v>
      </c>
      <c r="Y90" s="81">
        <v>0.1885</v>
      </c>
      <c r="Z90" s="81" t="s">
        <v>558</v>
      </c>
    </row>
    <row r="91" spans="1:26">
      <c r="A91" s="81" t="s">
        <v>549</v>
      </c>
      <c r="B91" s="82">
        <v>43676</v>
      </c>
      <c r="C91" s="81" t="s">
        <v>6</v>
      </c>
      <c r="D91" s="82">
        <v>43767</v>
      </c>
      <c r="E91" s="81" t="s">
        <v>6</v>
      </c>
      <c r="F91" s="81" t="s">
        <v>755</v>
      </c>
      <c r="G91" s="83">
        <v>700000</v>
      </c>
      <c r="H91" s="83">
        <v>700000</v>
      </c>
      <c r="I91" s="81" t="s">
        <v>8</v>
      </c>
      <c r="J91" s="81">
        <v>12</v>
      </c>
      <c r="K91" s="81">
        <v>1.415</v>
      </c>
      <c r="L91" s="81" t="s">
        <v>34</v>
      </c>
      <c r="M91" s="81" t="s">
        <v>34</v>
      </c>
      <c r="N91" s="81" t="s">
        <v>35</v>
      </c>
      <c r="O91" s="81" t="s">
        <v>36</v>
      </c>
      <c r="P91" s="81" t="s">
        <v>37</v>
      </c>
      <c r="Q91" s="81" t="s">
        <v>38</v>
      </c>
      <c r="R91" s="81" t="s">
        <v>39</v>
      </c>
      <c r="S91" s="81">
        <v>1.2749999999999999</v>
      </c>
      <c r="T91" s="81">
        <v>9978.3799999999992</v>
      </c>
      <c r="U91" s="81">
        <v>9978.2999999999993</v>
      </c>
      <c r="V91" s="81" t="s">
        <v>66</v>
      </c>
      <c r="W91" s="81">
        <v>4000000</v>
      </c>
      <c r="X91" s="81">
        <v>0.1694</v>
      </c>
      <c r="Y91" s="81">
        <v>0.16930000000000001</v>
      </c>
      <c r="Z91" s="81" t="s">
        <v>550</v>
      </c>
    </row>
    <row r="92" spans="1:26">
      <c r="A92" s="81" t="s">
        <v>544</v>
      </c>
      <c r="B92" s="82">
        <v>43669</v>
      </c>
      <c r="C92" s="81" t="s">
        <v>6</v>
      </c>
      <c r="D92" s="82">
        <v>43760</v>
      </c>
      <c r="E92" s="81" t="s">
        <v>6</v>
      </c>
      <c r="F92" s="81" t="s">
        <v>756</v>
      </c>
      <c r="G92" s="83">
        <v>800000</v>
      </c>
      <c r="H92" s="83">
        <v>800000</v>
      </c>
      <c r="I92" s="81" t="s">
        <v>8</v>
      </c>
      <c r="J92" s="81">
        <v>12</v>
      </c>
      <c r="K92" s="81">
        <v>1.4850000000000001</v>
      </c>
      <c r="L92" s="81" t="s">
        <v>34</v>
      </c>
      <c r="M92" s="81" t="s">
        <v>34</v>
      </c>
      <c r="N92" s="81" t="s">
        <v>35</v>
      </c>
      <c r="O92" s="81" t="s">
        <v>36</v>
      </c>
      <c r="P92" s="81" t="s">
        <v>37</v>
      </c>
      <c r="Q92" s="81" t="s">
        <v>38</v>
      </c>
      <c r="R92" s="81" t="s">
        <v>39</v>
      </c>
      <c r="S92" s="81">
        <v>1.2749999999999999</v>
      </c>
      <c r="T92" s="81">
        <v>9980.81</v>
      </c>
      <c r="U92" s="81">
        <v>9980.74</v>
      </c>
      <c r="V92" s="81" t="s">
        <v>66</v>
      </c>
      <c r="W92" s="81">
        <v>4000000</v>
      </c>
      <c r="X92" s="81">
        <v>0.15029999999999999</v>
      </c>
      <c r="Y92" s="81">
        <v>0.1502</v>
      </c>
      <c r="Z92" s="81" t="s">
        <v>545</v>
      </c>
    </row>
    <row r="93" spans="1:26">
      <c r="A93" s="81" t="s">
        <v>481</v>
      </c>
      <c r="B93" s="82">
        <v>43571</v>
      </c>
      <c r="C93" s="81" t="s">
        <v>6</v>
      </c>
      <c r="D93" s="82">
        <v>43753</v>
      </c>
      <c r="E93" s="81" t="s">
        <v>6</v>
      </c>
      <c r="F93" s="81" t="s">
        <v>757</v>
      </c>
      <c r="G93" s="83">
        <v>300000</v>
      </c>
      <c r="H93" s="83">
        <v>300000</v>
      </c>
      <c r="I93" s="81" t="s">
        <v>8</v>
      </c>
      <c r="J93" s="81">
        <v>12</v>
      </c>
      <c r="K93" s="81">
        <v>1.764</v>
      </c>
      <c r="L93" s="81" t="s">
        <v>34</v>
      </c>
      <c r="M93" s="81" t="s">
        <v>34</v>
      </c>
      <c r="N93" s="81" t="s">
        <v>35</v>
      </c>
      <c r="O93" s="81" t="s">
        <v>36</v>
      </c>
      <c r="P93" s="81" t="s">
        <v>37</v>
      </c>
      <c r="Q93" s="81" t="s">
        <v>38</v>
      </c>
      <c r="R93" s="81" t="s">
        <v>39</v>
      </c>
      <c r="S93" s="81">
        <v>1.2749999999999999</v>
      </c>
      <c r="T93" s="81">
        <v>9983.25</v>
      </c>
      <c r="U93" s="81">
        <v>9983.19</v>
      </c>
      <c r="V93" s="81" t="s">
        <v>66</v>
      </c>
      <c r="W93" s="81">
        <v>4000000</v>
      </c>
      <c r="X93" s="81">
        <v>0.13120000000000001</v>
      </c>
      <c r="Y93" s="81">
        <v>0.13109999999999999</v>
      </c>
      <c r="Z93" s="81" t="s">
        <v>482</v>
      </c>
    </row>
    <row r="94" spans="1:26">
      <c r="A94" s="81" t="s">
        <v>542</v>
      </c>
      <c r="B94" s="82">
        <v>43662</v>
      </c>
      <c r="C94" s="81" t="s">
        <v>6</v>
      </c>
      <c r="D94" s="82">
        <v>43753</v>
      </c>
      <c r="E94" s="81" t="s">
        <v>6</v>
      </c>
      <c r="F94" s="81" t="s">
        <v>757</v>
      </c>
      <c r="G94" s="83">
        <v>770000</v>
      </c>
      <c r="H94" s="83">
        <v>770000</v>
      </c>
      <c r="I94" s="81" t="s">
        <v>8</v>
      </c>
      <c r="J94" s="81">
        <v>12</v>
      </c>
      <c r="K94" s="81">
        <v>1.5149999999999999</v>
      </c>
      <c r="L94" s="81" t="s">
        <v>34</v>
      </c>
      <c r="M94" s="81" t="s">
        <v>34</v>
      </c>
      <c r="N94" s="81" t="s">
        <v>35</v>
      </c>
      <c r="O94" s="81" t="s">
        <v>36</v>
      </c>
      <c r="P94" s="81" t="s">
        <v>37</v>
      </c>
      <c r="Q94" s="81" t="s">
        <v>38</v>
      </c>
      <c r="R94" s="81" t="s">
        <v>39</v>
      </c>
      <c r="S94" s="81">
        <v>1.2749999999999999</v>
      </c>
      <c r="T94" s="81">
        <v>9983.25</v>
      </c>
      <c r="U94" s="81">
        <v>9983.19</v>
      </c>
      <c r="V94" s="81" t="s">
        <v>66</v>
      </c>
      <c r="W94" s="81">
        <v>4000000</v>
      </c>
      <c r="X94" s="81">
        <v>0.13120000000000001</v>
      </c>
      <c r="Y94" s="81">
        <v>0.13109999999999999</v>
      </c>
      <c r="Z94" s="81" t="s">
        <v>543</v>
      </c>
    </row>
    <row r="95" spans="1:26">
      <c r="A95" s="81" t="s">
        <v>533</v>
      </c>
      <c r="B95" s="82">
        <v>43655</v>
      </c>
      <c r="C95" s="81" t="s">
        <v>6</v>
      </c>
      <c r="D95" s="82">
        <v>43746</v>
      </c>
      <c r="E95" s="81" t="s">
        <v>6</v>
      </c>
      <c r="F95" s="81" t="s">
        <v>758</v>
      </c>
      <c r="G95" s="83">
        <v>900000</v>
      </c>
      <c r="H95" s="83">
        <v>900000</v>
      </c>
      <c r="I95" s="81" t="s">
        <v>8</v>
      </c>
      <c r="J95" s="81">
        <v>12</v>
      </c>
      <c r="K95" s="81">
        <v>1.534</v>
      </c>
      <c r="L95" s="81" t="s">
        <v>34</v>
      </c>
      <c r="M95" s="81" t="s">
        <v>34</v>
      </c>
      <c r="N95" s="81" t="s">
        <v>35</v>
      </c>
      <c r="O95" s="81" t="s">
        <v>36</v>
      </c>
      <c r="P95" s="81" t="s">
        <v>37</v>
      </c>
      <c r="Q95" s="81" t="s">
        <v>38</v>
      </c>
      <c r="R95" s="81" t="s">
        <v>39</v>
      </c>
      <c r="S95" s="81">
        <v>1.2749999999999999</v>
      </c>
      <c r="T95" s="81">
        <v>9985.69</v>
      </c>
      <c r="U95" s="81">
        <v>9985.64</v>
      </c>
      <c r="V95" s="81" t="s">
        <v>66</v>
      </c>
      <c r="W95" s="81">
        <v>4000000</v>
      </c>
      <c r="X95" s="81">
        <v>0.11210000000000001</v>
      </c>
      <c r="Y95" s="81">
        <v>0.112</v>
      </c>
      <c r="Z95" s="81" t="s">
        <v>534</v>
      </c>
    </row>
    <row r="96" spans="1:26">
      <c r="A96" s="81" t="s">
        <v>330</v>
      </c>
      <c r="B96" s="82">
        <v>43010</v>
      </c>
      <c r="C96" s="81" t="s">
        <v>40</v>
      </c>
      <c r="D96" s="82">
        <v>43740</v>
      </c>
      <c r="E96" s="81" t="s">
        <v>5</v>
      </c>
      <c r="F96" s="81" t="s">
        <v>663</v>
      </c>
      <c r="G96" s="83">
        <v>11970000</v>
      </c>
      <c r="H96" s="83">
        <v>8310000</v>
      </c>
      <c r="I96" s="81" t="s">
        <v>33</v>
      </c>
      <c r="J96" s="81">
        <v>3</v>
      </c>
      <c r="K96" s="81">
        <v>1.85</v>
      </c>
      <c r="L96" s="81" t="s">
        <v>34</v>
      </c>
      <c r="M96" s="81" t="s">
        <v>34</v>
      </c>
      <c r="N96" s="81" t="s">
        <v>35</v>
      </c>
      <c r="O96" s="81" t="s">
        <v>36</v>
      </c>
      <c r="P96" s="81" t="s">
        <v>37</v>
      </c>
      <c r="Q96" s="81" t="s">
        <v>38</v>
      </c>
      <c r="R96" s="81" t="s">
        <v>39</v>
      </c>
      <c r="S96" s="81">
        <v>1.2749999999999999</v>
      </c>
      <c r="T96" s="81">
        <v>10034.07</v>
      </c>
      <c r="U96" s="81">
        <v>10005.379999999999</v>
      </c>
      <c r="V96" s="81" t="s">
        <v>66</v>
      </c>
      <c r="W96" s="81">
        <v>4000000</v>
      </c>
      <c r="X96" s="81">
        <v>9.4899999999999998E-2</v>
      </c>
      <c r="Y96" s="81">
        <v>9.5600000000000004E-2</v>
      </c>
      <c r="Z96" s="81" t="s">
        <v>323</v>
      </c>
    </row>
    <row r="97" spans="1:26">
      <c r="A97" s="81" t="s">
        <v>477</v>
      </c>
      <c r="B97" s="82">
        <v>43557</v>
      </c>
      <c r="C97" s="81" t="s">
        <v>6</v>
      </c>
      <c r="D97" s="82">
        <v>43739</v>
      </c>
      <c r="E97" s="81" t="s">
        <v>6</v>
      </c>
      <c r="F97" s="81" t="s">
        <v>759</v>
      </c>
      <c r="G97" s="83">
        <v>310000</v>
      </c>
      <c r="H97" s="83">
        <v>310000</v>
      </c>
      <c r="I97" s="81" t="s">
        <v>8</v>
      </c>
      <c r="J97" s="81">
        <v>12</v>
      </c>
      <c r="K97" s="81">
        <v>1.784</v>
      </c>
      <c r="L97" s="81" t="s">
        <v>34</v>
      </c>
      <c r="M97" s="81" t="s">
        <v>34</v>
      </c>
      <c r="N97" s="81" t="s">
        <v>35</v>
      </c>
      <c r="O97" s="81" t="s">
        <v>36</v>
      </c>
      <c r="P97" s="81" t="s">
        <v>37</v>
      </c>
      <c r="Q97" s="81" t="s">
        <v>38</v>
      </c>
      <c r="R97" s="81" t="s">
        <v>39</v>
      </c>
      <c r="S97" s="81">
        <v>1.2749999999999999</v>
      </c>
      <c r="T97" s="81">
        <v>9988.1299999999992</v>
      </c>
      <c r="U97" s="81">
        <v>9988.09</v>
      </c>
      <c r="V97" s="81" t="s">
        <v>66</v>
      </c>
      <c r="W97" s="81">
        <v>4000000</v>
      </c>
      <c r="X97" s="81">
        <v>9.2999999999999999E-2</v>
      </c>
      <c r="Y97" s="81">
        <v>9.2799999999999994E-2</v>
      </c>
      <c r="Z97" s="81" t="s">
        <v>478</v>
      </c>
    </row>
    <row r="98" spans="1:26">
      <c r="A98" s="81" t="s">
        <v>527</v>
      </c>
      <c r="B98" s="82">
        <v>43648</v>
      </c>
      <c r="C98" s="81" t="s">
        <v>6</v>
      </c>
      <c r="D98" s="82">
        <v>43739</v>
      </c>
      <c r="E98" s="81" t="s">
        <v>6</v>
      </c>
      <c r="F98" s="81" t="s">
        <v>759</v>
      </c>
      <c r="G98" s="83">
        <v>900000</v>
      </c>
      <c r="H98" s="83">
        <v>900000</v>
      </c>
      <c r="I98" s="81" t="s">
        <v>8</v>
      </c>
      <c r="J98" s="81">
        <v>12</v>
      </c>
      <c r="K98" s="81">
        <v>1.5740000000000001</v>
      </c>
      <c r="L98" s="81" t="s">
        <v>34</v>
      </c>
      <c r="M98" s="81" t="s">
        <v>34</v>
      </c>
      <c r="N98" s="81" t="s">
        <v>35</v>
      </c>
      <c r="O98" s="81" t="s">
        <v>36</v>
      </c>
      <c r="P98" s="81" t="s">
        <v>37</v>
      </c>
      <c r="Q98" s="81" t="s">
        <v>38</v>
      </c>
      <c r="R98" s="81" t="s">
        <v>39</v>
      </c>
      <c r="S98" s="81">
        <v>1.2749999999999999</v>
      </c>
      <c r="T98" s="81">
        <v>9988.1299999999992</v>
      </c>
      <c r="U98" s="81">
        <v>9988.09</v>
      </c>
      <c r="V98" s="81" t="s">
        <v>66</v>
      </c>
      <c r="W98" s="81">
        <v>4000000</v>
      </c>
      <c r="X98" s="81">
        <v>9.2999999999999999E-2</v>
      </c>
      <c r="Y98" s="81">
        <v>9.2799999999999994E-2</v>
      </c>
      <c r="Z98" s="81" t="s">
        <v>528</v>
      </c>
    </row>
    <row r="99" spans="1:26">
      <c r="A99" s="81" t="s">
        <v>519</v>
      </c>
      <c r="B99" s="82">
        <v>43641</v>
      </c>
      <c r="C99" s="81" t="s">
        <v>6</v>
      </c>
      <c r="D99" s="82">
        <v>43732</v>
      </c>
      <c r="E99" s="81" t="s">
        <v>6</v>
      </c>
      <c r="F99" s="81" t="s">
        <v>760</v>
      </c>
      <c r="G99" s="83">
        <v>600000</v>
      </c>
      <c r="H99" s="83">
        <v>600000</v>
      </c>
      <c r="I99" s="81" t="s">
        <v>8</v>
      </c>
      <c r="J99" s="81">
        <v>12</v>
      </c>
      <c r="K99" s="81">
        <v>1.5640000000000001</v>
      </c>
      <c r="L99" s="81" t="s">
        <v>34</v>
      </c>
      <c r="M99" s="81" t="s">
        <v>34</v>
      </c>
      <c r="N99" s="81" t="s">
        <v>35</v>
      </c>
      <c r="O99" s="81" t="s">
        <v>36</v>
      </c>
      <c r="P99" s="81" t="s">
        <v>37</v>
      </c>
      <c r="Q99" s="81" t="s">
        <v>38</v>
      </c>
      <c r="R99" s="81" t="s">
        <v>39</v>
      </c>
      <c r="S99" s="81">
        <v>1.2749999999999999</v>
      </c>
      <c r="T99" s="81">
        <v>9990.57</v>
      </c>
      <c r="U99" s="81">
        <v>9990.5400000000009</v>
      </c>
      <c r="V99" s="81" t="s">
        <v>66</v>
      </c>
      <c r="W99" s="81">
        <v>4000000</v>
      </c>
      <c r="X99" s="81">
        <v>7.3899999999999993E-2</v>
      </c>
      <c r="Y99" s="81">
        <v>7.3700000000000002E-2</v>
      </c>
      <c r="Z99" s="81" t="s">
        <v>520</v>
      </c>
    </row>
    <row r="100" spans="1:26">
      <c r="A100" s="81" t="s">
        <v>471</v>
      </c>
      <c r="B100" s="82">
        <v>43543</v>
      </c>
      <c r="C100" s="81" t="s">
        <v>6</v>
      </c>
      <c r="D100" s="82">
        <v>43725</v>
      </c>
      <c r="E100" s="81" t="s">
        <v>6</v>
      </c>
      <c r="F100" s="81" t="s">
        <v>761</v>
      </c>
      <c r="G100" s="83">
        <v>250000</v>
      </c>
      <c r="H100" s="83">
        <v>250000</v>
      </c>
      <c r="I100" s="81" t="s">
        <v>8</v>
      </c>
      <c r="J100" s="81">
        <v>12</v>
      </c>
      <c r="K100" s="81">
        <v>1.794</v>
      </c>
      <c r="L100" s="81" t="s">
        <v>34</v>
      </c>
      <c r="M100" s="81" t="s">
        <v>34</v>
      </c>
      <c r="N100" s="81" t="s">
        <v>35</v>
      </c>
      <c r="O100" s="81" t="s">
        <v>36</v>
      </c>
      <c r="P100" s="81" t="s">
        <v>37</v>
      </c>
      <c r="Q100" s="81" t="s">
        <v>38</v>
      </c>
      <c r="R100" s="81" t="s">
        <v>39</v>
      </c>
      <c r="S100" s="81">
        <v>1.2749999999999999</v>
      </c>
      <c r="T100" s="81">
        <v>9993.01</v>
      </c>
      <c r="U100" s="81">
        <v>9992.99</v>
      </c>
      <c r="V100" s="81" t="s">
        <v>66</v>
      </c>
      <c r="W100" s="81">
        <v>4000000</v>
      </c>
      <c r="X100" s="81">
        <v>5.4699999999999999E-2</v>
      </c>
      <c r="Y100" s="81">
        <v>5.4600000000000003E-2</v>
      </c>
      <c r="Z100" s="81" t="s">
        <v>472</v>
      </c>
    </row>
    <row r="101" spans="1:26">
      <c r="A101" s="81" t="s">
        <v>517</v>
      </c>
      <c r="B101" s="82">
        <v>43634</v>
      </c>
      <c r="C101" s="81" t="s">
        <v>6</v>
      </c>
      <c r="D101" s="82">
        <v>43725</v>
      </c>
      <c r="E101" s="81" t="s">
        <v>6</v>
      </c>
      <c r="F101" s="81" t="s">
        <v>761</v>
      </c>
      <c r="G101" s="83">
        <v>800000</v>
      </c>
      <c r="H101" s="83">
        <v>800000</v>
      </c>
      <c r="I101" s="81" t="s">
        <v>8</v>
      </c>
      <c r="J101" s="81">
        <v>12</v>
      </c>
      <c r="K101" s="81">
        <v>1.534</v>
      </c>
      <c r="L101" s="81" t="s">
        <v>34</v>
      </c>
      <c r="M101" s="81" t="s">
        <v>34</v>
      </c>
      <c r="N101" s="81" t="s">
        <v>35</v>
      </c>
      <c r="O101" s="81" t="s">
        <v>36</v>
      </c>
      <c r="P101" s="81" t="s">
        <v>37</v>
      </c>
      <c r="Q101" s="81" t="s">
        <v>38</v>
      </c>
      <c r="R101" s="81" t="s">
        <v>39</v>
      </c>
      <c r="S101" s="81">
        <v>1.2749999999999999</v>
      </c>
      <c r="T101" s="81">
        <v>9993.01</v>
      </c>
      <c r="U101" s="81">
        <v>9992.99</v>
      </c>
      <c r="V101" s="81" t="s">
        <v>66</v>
      </c>
      <c r="W101" s="81">
        <v>4000000</v>
      </c>
      <c r="X101" s="81">
        <v>5.4699999999999999E-2</v>
      </c>
      <c r="Y101" s="81">
        <v>5.4600000000000003E-2</v>
      </c>
      <c r="Z101" s="81" t="s">
        <v>518</v>
      </c>
    </row>
    <row r="102" spans="1:26">
      <c r="A102" s="81" t="s">
        <v>509</v>
      </c>
      <c r="B102" s="82">
        <v>43627</v>
      </c>
      <c r="C102" s="81" t="s">
        <v>6</v>
      </c>
      <c r="D102" s="82">
        <v>43718</v>
      </c>
      <c r="E102" s="81" t="s">
        <v>6</v>
      </c>
      <c r="F102" s="81" t="s">
        <v>664</v>
      </c>
      <c r="G102" s="83">
        <v>800000</v>
      </c>
      <c r="H102" s="83">
        <v>800000</v>
      </c>
      <c r="I102" s="81" t="s">
        <v>8</v>
      </c>
      <c r="J102" s="81">
        <v>12</v>
      </c>
      <c r="K102" s="81">
        <v>1.5940000000000001</v>
      </c>
      <c r="L102" s="81" t="s">
        <v>34</v>
      </c>
      <c r="M102" s="81" t="s">
        <v>34</v>
      </c>
      <c r="N102" s="81" t="s">
        <v>35</v>
      </c>
      <c r="O102" s="81" t="s">
        <v>36</v>
      </c>
      <c r="P102" s="81" t="s">
        <v>37</v>
      </c>
      <c r="Q102" s="81" t="s">
        <v>38</v>
      </c>
      <c r="R102" s="81" t="s">
        <v>39</v>
      </c>
      <c r="S102" s="81">
        <v>1.2749999999999999</v>
      </c>
      <c r="T102" s="81">
        <v>9995.4500000000007</v>
      </c>
      <c r="U102" s="81">
        <v>9995.44</v>
      </c>
      <c r="V102" s="81" t="s">
        <v>66</v>
      </c>
      <c r="W102" s="81">
        <v>4000000</v>
      </c>
      <c r="X102" s="81">
        <v>3.56E-2</v>
      </c>
      <c r="Y102" s="81">
        <v>3.5499999999999997E-2</v>
      </c>
      <c r="Z102" s="81" t="s">
        <v>510</v>
      </c>
    </row>
    <row r="103" spans="1:26">
      <c r="A103" s="81" t="s">
        <v>397</v>
      </c>
      <c r="B103" s="82">
        <v>43352</v>
      </c>
      <c r="C103" s="81" t="s">
        <v>13</v>
      </c>
      <c r="D103" s="82">
        <v>43717</v>
      </c>
      <c r="E103" s="81" t="s">
        <v>40</v>
      </c>
      <c r="F103" s="81" t="s">
        <v>762</v>
      </c>
      <c r="G103" s="83">
        <v>6300000</v>
      </c>
      <c r="H103" s="83">
        <v>5720000</v>
      </c>
      <c r="I103" s="81" t="s">
        <v>33</v>
      </c>
      <c r="J103" s="81">
        <v>3</v>
      </c>
      <c r="K103" s="81">
        <v>1.8</v>
      </c>
      <c r="L103" s="81" t="s">
        <v>34</v>
      </c>
      <c r="M103" s="81" t="s">
        <v>34</v>
      </c>
      <c r="N103" s="81" t="s">
        <v>35</v>
      </c>
      <c r="O103" s="81" t="s">
        <v>36</v>
      </c>
      <c r="P103" s="81" t="s">
        <v>37</v>
      </c>
      <c r="Q103" s="81" t="s">
        <v>38</v>
      </c>
      <c r="R103" s="81" t="s">
        <v>39</v>
      </c>
      <c r="S103" s="81">
        <v>1.2749999999999999</v>
      </c>
      <c r="T103" s="81">
        <v>10040.82</v>
      </c>
      <c r="U103" s="81">
        <v>10001.67</v>
      </c>
      <c r="V103" s="81" t="s">
        <v>66</v>
      </c>
      <c r="W103" s="81">
        <v>4000000</v>
      </c>
      <c r="X103" s="81">
        <v>3.2500000000000001E-2</v>
      </c>
      <c r="Y103" s="81">
        <v>3.27E-2</v>
      </c>
      <c r="Z103" s="81" t="s">
        <v>398</v>
      </c>
    </row>
    <row r="104" spans="1:26">
      <c r="A104" s="81" t="s">
        <v>466</v>
      </c>
      <c r="B104" s="82">
        <v>43529</v>
      </c>
      <c r="C104" s="81" t="s">
        <v>6</v>
      </c>
      <c r="D104" s="82">
        <v>43711</v>
      </c>
      <c r="E104" s="81" t="s">
        <v>6</v>
      </c>
      <c r="F104" s="81" t="s">
        <v>763</v>
      </c>
      <c r="G104" s="83">
        <v>370000</v>
      </c>
      <c r="H104" s="83">
        <v>370000</v>
      </c>
      <c r="I104" s="81" t="s">
        <v>8</v>
      </c>
      <c r="J104" s="81">
        <v>12</v>
      </c>
      <c r="K104" s="81">
        <v>1.8029999999999999</v>
      </c>
      <c r="L104" s="81" t="s">
        <v>34</v>
      </c>
      <c r="M104" s="81" t="s">
        <v>34</v>
      </c>
      <c r="N104" s="81" t="s">
        <v>35</v>
      </c>
      <c r="O104" s="81" t="s">
        <v>36</v>
      </c>
      <c r="P104" s="81" t="s">
        <v>37</v>
      </c>
      <c r="Q104" s="81" t="s">
        <v>38</v>
      </c>
      <c r="R104" s="81" t="s">
        <v>39</v>
      </c>
      <c r="S104" s="81">
        <v>1.2749999999999999</v>
      </c>
      <c r="T104" s="81">
        <v>9997.9</v>
      </c>
      <c r="U104" s="81">
        <v>9997.89</v>
      </c>
      <c r="V104" s="81" t="s">
        <v>66</v>
      </c>
      <c r="W104" s="81">
        <v>4000000</v>
      </c>
      <c r="X104" s="81">
        <v>1.6400000000000001E-2</v>
      </c>
      <c r="Y104" s="81">
        <v>1.6299999999999999E-2</v>
      </c>
      <c r="Z104" s="81" t="s">
        <v>467</v>
      </c>
    </row>
    <row r="105" spans="1:26">
      <c r="A105" s="81" t="s">
        <v>499</v>
      </c>
      <c r="B105" s="82">
        <v>43620</v>
      </c>
      <c r="C105" s="81" t="s">
        <v>6</v>
      </c>
      <c r="D105" s="82">
        <v>43711</v>
      </c>
      <c r="E105" s="81" t="s">
        <v>6</v>
      </c>
      <c r="F105" s="81" t="s">
        <v>763</v>
      </c>
      <c r="G105" s="83">
        <v>800000</v>
      </c>
      <c r="H105" s="83">
        <v>800000</v>
      </c>
      <c r="I105" s="81" t="s">
        <v>8</v>
      </c>
      <c r="J105" s="81">
        <v>12</v>
      </c>
      <c r="K105" s="81">
        <v>1.6140000000000001</v>
      </c>
      <c r="L105" s="81" t="s">
        <v>34</v>
      </c>
      <c r="M105" s="81" t="s">
        <v>34</v>
      </c>
      <c r="N105" s="81" t="s">
        <v>35</v>
      </c>
      <c r="O105" s="81" t="s">
        <v>36</v>
      </c>
      <c r="P105" s="81" t="s">
        <v>37</v>
      </c>
      <c r="Q105" s="81" t="s">
        <v>38</v>
      </c>
      <c r="R105" s="81" t="s">
        <v>39</v>
      </c>
      <c r="S105" s="81">
        <v>1.2749999999999999</v>
      </c>
      <c r="T105" s="81">
        <v>9997.9</v>
      </c>
      <c r="U105" s="81">
        <v>9997.89</v>
      </c>
      <c r="V105" s="81" t="s">
        <v>66</v>
      </c>
      <c r="W105" s="81">
        <v>4000000</v>
      </c>
      <c r="X105" s="81">
        <v>1.6400000000000001E-2</v>
      </c>
      <c r="Y105" s="81">
        <v>1.6299999999999999E-2</v>
      </c>
      <c r="Z105" s="81" t="s">
        <v>500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Z55"/>
  <sheetViews>
    <sheetView zoomScaleNormal="100" workbookViewId="0">
      <selection activeCell="B39" sqref="B39"/>
    </sheetView>
  </sheetViews>
  <sheetFormatPr defaultRowHeight="13.5"/>
  <cols>
    <col min="1" max="16384" width="8.88671875" style="81"/>
  </cols>
  <sheetData>
    <row r="1" spans="1:26" ht="16.5">
      <c r="A1" s="81" t="s">
        <v>0</v>
      </c>
      <c r="B1" s="81" t="s">
        <v>12</v>
      </c>
      <c r="C1" s="81" t="s">
        <v>13</v>
      </c>
      <c r="D1" s="81" t="s">
        <v>279</v>
      </c>
      <c r="E1" s="81" t="s">
        <v>13</v>
      </c>
      <c r="F1" s="81" t="s">
        <v>14</v>
      </c>
      <c r="G1" s="81" t="s">
        <v>15</v>
      </c>
      <c r="H1" s="81" t="s">
        <v>16</v>
      </c>
      <c r="I1" s="81" t="s">
        <v>17</v>
      </c>
      <c r="J1" s="81" t="s">
        <v>18</v>
      </c>
      <c r="K1" s="81" t="s">
        <v>19</v>
      </c>
      <c r="L1" s="81" t="s">
        <v>20</v>
      </c>
      <c r="M1" s="81" t="s">
        <v>21</v>
      </c>
      <c r="N1" s="81" t="s">
        <v>22</v>
      </c>
      <c r="O1" s="81" t="s">
        <v>23</v>
      </c>
      <c r="P1" s="81" t="s">
        <v>24</v>
      </c>
      <c r="Q1" s="81" t="s">
        <v>25</v>
      </c>
      <c r="R1" s="81" t="s">
        <v>26</v>
      </c>
      <c r="S1" s="81" t="s">
        <v>200</v>
      </c>
      <c r="T1" s="81" t="s">
        <v>27</v>
      </c>
      <c r="U1" s="81" t="s">
        <v>28</v>
      </c>
      <c r="V1" s="81" t="s">
        <v>29</v>
      </c>
      <c r="W1" s="81" t="s">
        <v>201</v>
      </c>
      <c r="X1" s="81" t="s">
        <v>30</v>
      </c>
      <c r="Y1" s="81" t="s">
        <v>31</v>
      </c>
      <c r="Z1" s="81" t="s">
        <v>32</v>
      </c>
    </row>
    <row r="2" spans="1:26" ht="16.5">
      <c r="A2" s="81" t="s">
        <v>561</v>
      </c>
      <c r="B2" s="82">
        <v>43708</v>
      </c>
      <c r="C2" s="81" t="s">
        <v>11</v>
      </c>
      <c r="D2" s="82">
        <v>45535</v>
      </c>
      <c r="E2" s="81" t="s">
        <v>11</v>
      </c>
      <c r="F2" s="81" t="s">
        <v>764</v>
      </c>
      <c r="G2" s="83">
        <v>1008781</v>
      </c>
      <c r="H2" s="83">
        <v>1008781</v>
      </c>
      <c r="I2" s="81" t="s">
        <v>7</v>
      </c>
      <c r="J2" s="81">
        <v>12</v>
      </c>
      <c r="K2" s="81">
        <v>1</v>
      </c>
      <c r="L2" s="81" t="s">
        <v>34</v>
      </c>
      <c r="M2" s="81" t="s">
        <v>34</v>
      </c>
      <c r="N2" s="81" t="s">
        <v>35</v>
      </c>
      <c r="O2" s="81" t="s">
        <v>36</v>
      </c>
      <c r="P2" s="81" t="s">
        <v>37</v>
      </c>
      <c r="Q2" s="81" t="s">
        <v>38</v>
      </c>
      <c r="R2" s="81" t="s">
        <v>39</v>
      </c>
      <c r="S2" s="81">
        <v>1.2749999999999999</v>
      </c>
      <c r="T2" s="81">
        <v>9864.18</v>
      </c>
      <c r="U2" s="81">
        <v>9864.18</v>
      </c>
      <c r="V2" s="81" t="s">
        <v>252</v>
      </c>
      <c r="W2" s="81">
        <v>1020000</v>
      </c>
      <c r="X2" s="81">
        <v>4.9459</v>
      </c>
      <c r="Y2" s="81">
        <v>5.0053999999999998</v>
      </c>
      <c r="Z2" s="81" t="s">
        <v>562</v>
      </c>
    </row>
    <row r="3" spans="1:26" ht="16.5">
      <c r="A3" s="81" t="s">
        <v>551</v>
      </c>
      <c r="B3" s="82">
        <v>43708</v>
      </c>
      <c r="C3" s="81" t="s">
        <v>11</v>
      </c>
      <c r="D3" s="82">
        <v>45535</v>
      </c>
      <c r="E3" s="81" t="s">
        <v>11</v>
      </c>
      <c r="F3" s="81" t="s">
        <v>764</v>
      </c>
      <c r="G3" s="83">
        <v>493819</v>
      </c>
      <c r="H3" s="83">
        <v>493819</v>
      </c>
      <c r="I3" s="81" t="s">
        <v>7</v>
      </c>
      <c r="J3" s="81">
        <v>12</v>
      </c>
      <c r="K3" s="81">
        <v>1.25</v>
      </c>
      <c r="L3" s="81" t="s">
        <v>34</v>
      </c>
      <c r="M3" s="81" t="s">
        <v>34</v>
      </c>
      <c r="N3" s="81" t="s">
        <v>35</v>
      </c>
      <c r="O3" s="81" t="s">
        <v>36</v>
      </c>
      <c r="P3" s="81" t="s">
        <v>37</v>
      </c>
      <c r="Q3" s="81" t="s">
        <v>38</v>
      </c>
      <c r="R3" s="81" t="s">
        <v>39</v>
      </c>
      <c r="S3" s="81">
        <v>1.2749999999999999</v>
      </c>
      <c r="T3" s="81">
        <v>9986.19</v>
      </c>
      <c r="U3" s="81">
        <v>9986.19</v>
      </c>
      <c r="V3" s="81" t="s">
        <v>252</v>
      </c>
      <c r="W3" s="81">
        <v>1020000</v>
      </c>
      <c r="X3" s="81">
        <v>4.9459</v>
      </c>
      <c r="Y3" s="81">
        <v>5.0053999999999998</v>
      </c>
      <c r="Z3" s="81" t="s">
        <v>552</v>
      </c>
    </row>
    <row r="4" spans="1:26" ht="16.5">
      <c r="A4" s="81" t="s">
        <v>546</v>
      </c>
      <c r="B4" s="82">
        <v>43677</v>
      </c>
      <c r="C4" s="81" t="s">
        <v>5</v>
      </c>
      <c r="D4" s="82">
        <v>45504</v>
      </c>
      <c r="E4" s="81" t="s">
        <v>5</v>
      </c>
      <c r="F4" s="81" t="s">
        <v>765</v>
      </c>
      <c r="G4" s="83">
        <v>430893</v>
      </c>
      <c r="H4" s="83">
        <v>430790</v>
      </c>
      <c r="I4" s="81" t="s">
        <v>7</v>
      </c>
      <c r="J4" s="81">
        <v>12</v>
      </c>
      <c r="K4" s="81">
        <v>1.25</v>
      </c>
      <c r="L4" s="81" t="s">
        <v>34</v>
      </c>
      <c r="M4" s="81" t="s">
        <v>34</v>
      </c>
      <c r="N4" s="81" t="s">
        <v>35</v>
      </c>
      <c r="O4" s="81" t="s">
        <v>36</v>
      </c>
      <c r="P4" s="81" t="s">
        <v>37</v>
      </c>
      <c r="Q4" s="81" t="s">
        <v>38</v>
      </c>
      <c r="R4" s="81" t="s">
        <v>39</v>
      </c>
      <c r="S4" s="81">
        <v>1.2749999999999999</v>
      </c>
      <c r="T4" s="81">
        <v>9996.7000000000007</v>
      </c>
      <c r="U4" s="81">
        <v>9987.02</v>
      </c>
      <c r="V4" s="81" t="s">
        <v>252</v>
      </c>
      <c r="W4" s="81">
        <v>1020000</v>
      </c>
      <c r="X4" s="81">
        <v>4.8628999999999998</v>
      </c>
      <c r="Y4" s="81">
        <v>4.9207000000000001</v>
      </c>
      <c r="Z4" s="81" t="s">
        <v>547</v>
      </c>
    </row>
    <row r="5" spans="1:26" ht="16.5">
      <c r="A5" s="81" t="s">
        <v>521</v>
      </c>
      <c r="B5" s="82">
        <v>43677</v>
      </c>
      <c r="C5" s="81" t="s">
        <v>5</v>
      </c>
      <c r="D5" s="82">
        <v>45504</v>
      </c>
      <c r="E5" s="81" t="s">
        <v>5</v>
      </c>
      <c r="F5" s="81" t="s">
        <v>765</v>
      </c>
      <c r="G5" s="83">
        <v>1037399</v>
      </c>
      <c r="H5" s="83">
        <v>1036789</v>
      </c>
      <c r="I5" s="81" t="s">
        <v>7</v>
      </c>
      <c r="J5" s="81">
        <v>12</v>
      </c>
      <c r="K5" s="81">
        <v>1.5</v>
      </c>
      <c r="L5" s="81" t="s">
        <v>34</v>
      </c>
      <c r="M5" s="81" t="s">
        <v>34</v>
      </c>
      <c r="N5" s="81" t="s">
        <v>35</v>
      </c>
      <c r="O5" s="81" t="s">
        <v>36</v>
      </c>
      <c r="P5" s="81" t="s">
        <v>37</v>
      </c>
      <c r="Q5" s="81" t="s">
        <v>38</v>
      </c>
      <c r="R5" s="81" t="s">
        <v>39</v>
      </c>
      <c r="S5" s="81">
        <v>1.2749999999999999</v>
      </c>
      <c r="T5" s="81">
        <v>10120.709999999999</v>
      </c>
      <c r="U5" s="81">
        <v>10109.08</v>
      </c>
      <c r="V5" s="81" t="s">
        <v>252</v>
      </c>
      <c r="W5" s="81">
        <v>1020000</v>
      </c>
      <c r="X5" s="81">
        <v>4.8628999999999998</v>
      </c>
      <c r="Y5" s="81">
        <v>4.9207000000000001</v>
      </c>
      <c r="Z5" s="81" t="s">
        <v>522</v>
      </c>
    </row>
    <row r="6" spans="1:26" ht="16.5">
      <c r="A6" s="81" t="s">
        <v>501</v>
      </c>
      <c r="B6" s="82">
        <v>43646</v>
      </c>
      <c r="C6" s="81" t="s">
        <v>13</v>
      </c>
      <c r="D6" s="82">
        <v>45473</v>
      </c>
      <c r="E6" s="81" t="s">
        <v>13</v>
      </c>
      <c r="F6" s="81" t="s">
        <v>766</v>
      </c>
      <c r="G6" s="83">
        <v>1063638</v>
      </c>
      <c r="H6" s="83">
        <v>1062981</v>
      </c>
      <c r="I6" s="81" t="s">
        <v>7</v>
      </c>
      <c r="J6" s="81">
        <v>12</v>
      </c>
      <c r="K6" s="81">
        <v>1.5</v>
      </c>
      <c r="L6" s="81" t="s">
        <v>34</v>
      </c>
      <c r="M6" s="81" t="s">
        <v>34</v>
      </c>
      <c r="N6" s="81" t="s">
        <v>35</v>
      </c>
      <c r="O6" s="81" t="s">
        <v>36</v>
      </c>
      <c r="P6" s="81" t="s">
        <v>37</v>
      </c>
      <c r="Q6" s="81" t="s">
        <v>38</v>
      </c>
      <c r="R6" s="81" t="s">
        <v>39</v>
      </c>
      <c r="S6" s="81">
        <v>1.2729999999999999</v>
      </c>
      <c r="T6" s="81">
        <v>10132.66</v>
      </c>
      <c r="U6" s="81">
        <v>10108.23</v>
      </c>
      <c r="V6" s="81" t="s">
        <v>252</v>
      </c>
      <c r="W6" s="81">
        <v>1020000</v>
      </c>
      <c r="X6" s="81">
        <v>4.78</v>
      </c>
      <c r="Y6" s="81">
        <v>4.8360000000000003</v>
      </c>
      <c r="Z6" s="81" t="s">
        <v>502</v>
      </c>
    </row>
    <row r="7" spans="1:26" ht="16.5">
      <c r="A7" s="81" t="s">
        <v>493</v>
      </c>
      <c r="B7" s="82">
        <v>43646</v>
      </c>
      <c r="C7" s="81" t="s">
        <v>13</v>
      </c>
      <c r="D7" s="82">
        <v>45473</v>
      </c>
      <c r="E7" s="81" t="s">
        <v>13</v>
      </c>
      <c r="F7" s="81" t="s">
        <v>766</v>
      </c>
      <c r="G7" s="83">
        <v>79026</v>
      </c>
      <c r="H7" s="83">
        <v>78726</v>
      </c>
      <c r="I7" s="81" t="s">
        <v>7</v>
      </c>
      <c r="J7" s="81">
        <v>12</v>
      </c>
      <c r="K7" s="81">
        <v>1.75</v>
      </c>
      <c r="L7" s="81" t="s">
        <v>34</v>
      </c>
      <c r="M7" s="81" t="s">
        <v>34</v>
      </c>
      <c r="N7" s="81" t="s">
        <v>35</v>
      </c>
      <c r="O7" s="81" t="s">
        <v>36</v>
      </c>
      <c r="P7" s="81" t="s">
        <v>37</v>
      </c>
      <c r="Q7" s="81" t="s">
        <v>38</v>
      </c>
      <c r="R7" s="81" t="s">
        <v>39</v>
      </c>
      <c r="S7" s="81">
        <v>1.2729999999999999</v>
      </c>
      <c r="T7" s="81">
        <v>10258.709999999999</v>
      </c>
      <c r="U7" s="81">
        <v>10230.23</v>
      </c>
      <c r="V7" s="81" t="s">
        <v>252</v>
      </c>
      <c r="W7" s="81">
        <v>1020000</v>
      </c>
      <c r="X7" s="81">
        <v>4.78</v>
      </c>
      <c r="Y7" s="81">
        <v>4.8360000000000003</v>
      </c>
      <c r="Z7" s="81" t="s">
        <v>494</v>
      </c>
    </row>
    <row r="8" spans="1:26" ht="16.5">
      <c r="A8" s="81" t="s">
        <v>483</v>
      </c>
      <c r="B8" s="82">
        <v>43616</v>
      </c>
      <c r="C8" s="81" t="s">
        <v>10</v>
      </c>
      <c r="D8" s="82">
        <v>45443</v>
      </c>
      <c r="E8" s="81" t="s">
        <v>10</v>
      </c>
      <c r="F8" s="81" t="s">
        <v>767</v>
      </c>
      <c r="G8" s="83">
        <v>1323766</v>
      </c>
      <c r="H8" s="83">
        <v>1322205</v>
      </c>
      <c r="I8" s="81" t="s">
        <v>7</v>
      </c>
      <c r="J8" s="81">
        <v>12</v>
      </c>
      <c r="K8" s="81">
        <v>1.75</v>
      </c>
      <c r="L8" s="81" t="s">
        <v>34</v>
      </c>
      <c r="M8" s="81" t="s">
        <v>34</v>
      </c>
      <c r="N8" s="81" t="s">
        <v>35</v>
      </c>
      <c r="O8" s="81" t="s">
        <v>36</v>
      </c>
      <c r="P8" s="81" t="s">
        <v>37</v>
      </c>
      <c r="Q8" s="81" t="s">
        <v>38</v>
      </c>
      <c r="R8" s="81" t="s">
        <v>39</v>
      </c>
      <c r="S8" s="81">
        <v>1.272</v>
      </c>
      <c r="T8" s="81">
        <v>10269.629999999999</v>
      </c>
      <c r="U8" s="81">
        <v>10227.049999999999</v>
      </c>
      <c r="V8" s="81" t="s">
        <v>252</v>
      </c>
      <c r="W8" s="81">
        <v>1020000</v>
      </c>
      <c r="X8" s="81">
        <v>4.6996000000000002</v>
      </c>
      <c r="Y8" s="81">
        <v>4.7539999999999996</v>
      </c>
      <c r="Z8" s="81" t="s">
        <v>484</v>
      </c>
    </row>
    <row r="9" spans="1:26" ht="16.5">
      <c r="A9" s="81" t="s">
        <v>553</v>
      </c>
      <c r="B9" s="82">
        <v>43708</v>
      </c>
      <c r="C9" s="81" t="s">
        <v>11</v>
      </c>
      <c r="D9" s="82">
        <v>45535</v>
      </c>
      <c r="E9" s="81" t="s">
        <v>11</v>
      </c>
      <c r="F9" s="81" t="s">
        <v>764</v>
      </c>
      <c r="G9" s="83">
        <v>25635</v>
      </c>
      <c r="H9" s="83">
        <v>25635</v>
      </c>
      <c r="I9" s="81" t="s">
        <v>7</v>
      </c>
      <c r="J9" s="81">
        <v>12</v>
      </c>
      <c r="K9" s="81">
        <v>1.25</v>
      </c>
      <c r="L9" s="81" t="s">
        <v>34</v>
      </c>
      <c r="M9" s="81" t="s">
        <v>34</v>
      </c>
      <c r="N9" s="81" t="s">
        <v>35</v>
      </c>
      <c r="O9" s="81" t="s">
        <v>36</v>
      </c>
      <c r="P9" s="81" t="s">
        <v>37</v>
      </c>
      <c r="Q9" s="81" t="s">
        <v>38</v>
      </c>
      <c r="R9" s="81" t="s">
        <v>39</v>
      </c>
      <c r="S9" s="81">
        <v>1.3240000000000001</v>
      </c>
      <c r="T9" s="81">
        <v>9962.1299999999992</v>
      </c>
      <c r="U9" s="81">
        <v>9961.5499999999993</v>
      </c>
      <c r="V9" s="81" t="s">
        <v>253</v>
      </c>
      <c r="W9" s="81">
        <v>2045000</v>
      </c>
      <c r="X9" s="81">
        <v>4.9435000000000002</v>
      </c>
      <c r="Y9" s="81">
        <v>5.0053999999999998</v>
      </c>
      <c r="Z9" s="81" t="s">
        <v>554</v>
      </c>
    </row>
    <row r="10" spans="1:26" ht="16.5">
      <c r="A10" s="81" t="s">
        <v>523</v>
      </c>
      <c r="B10" s="82">
        <v>43677</v>
      </c>
      <c r="C10" s="81" t="s">
        <v>5</v>
      </c>
      <c r="D10" s="82">
        <v>45504</v>
      </c>
      <c r="E10" s="81" t="s">
        <v>5</v>
      </c>
      <c r="F10" s="81" t="s">
        <v>765</v>
      </c>
      <c r="G10" s="83">
        <v>29005</v>
      </c>
      <c r="H10" s="83">
        <v>29005</v>
      </c>
      <c r="I10" s="81" t="s">
        <v>7</v>
      </c>
      <c r="J10" s="81">
        <v>12</v>
      </c>
      <c r="K10" s="81">
        <v>1.25</v>
      </c>
      <c r="L10" s="81" t="s">
        <v>34</v>
      </c>
      <c r="M10" s="81" t="s">
        <v>34</v>
      </c>
      <c r="N10" s="81" t="s">
        <v>35</v>
      </c>
      <c r="O10" s="81" t="s">
        <v>36</v>
      </c>
      <c r="P10" s="81" t="s">
        <v>37</v>
      </c>
      <c r="Q10" s="81" t="s">
        <v>38</v>
      </c>
      <c r="R10" s="81" t="s">
        <v>39</v>
      </c>
      <c r="S10" s="81">
        <v>1.323</v>
      </c>
      <c r="T10" s="81">
        <v>9973.5</v>
      </c>
      <c r="U10" s="81">
        <v>9962.76</v>
      </c>
      <c r="V10" s="81" t="s">
        <v>253</v>
      </c>
      <c r="W10" s="81">
        <v>2045000</v>
      </c>
      <c r="X10" s="81">
        <v>4.8605999999999998</v>
      </c>
      <c r="Y10" s="81">
        <v>4.9207000000000001</v>
      </c>
      <c r="Z10" s="81" t="s">
        <v>524</v>
      </c>
    </row>
    <row r="11" spans="1:26" ht="16.5">
      <c r="A11" s="81" t="s">
        <v>495</v>
      </c>
      <c r="B11" s="82">
        <v>43646</v>
      </c>
      <c r="C11" s="81" t="s">
        <v>13</v>
      </c>
      <c r="D11" s="82">
        <v>45473</v>
      </c>
      <c r="E11" s="81" t="s">
        <v>13</v>
      </c>
      <c r="F11" s="81" t="s">
        <v>766</v>
      </c>
      <c r="G11" s="83">
        <v>24093</v>
      </c>
      <c r="H11" s="83">
        <v>24093</v>
      </c>
      <c r="I11" s="81" t="s">
        <v>7</v>
      </c>
      <c r="J11" s="81">
        <v>12</v>
      </c>
      <c r="K11" s="81">
        <v>1.25</v>
      </c>
      <c r="L11" s="81" t="s">
        <v>34</v>
      </c>
      <c r="M11" s="81" t="s">
        <v>34</v>
      </c>
      <c r="N11" s="81" t="s">
        <v>35</v>
      </c>
      <c r="O11" s="81" t="s">
        <v>36</v>
      </c>
      <c r="P11" s="81" t="s">
        <v>37</v>
      </c>
      <c r="Q11" s="81" t="s">
        <v>38</v>
      </c>
      <c r="R11" s="81" t="s">
        <v>39</v>
      </c>
      <c r="S11" s="81">
        <v>1.3220000000000001</v>
      </c>
      <c r="T11" s="81">
        <v>9985.2000000000007</v>
      </c>
      <c r="U11" s="81">
        <v>9964.25</v>
      </c>
      <c r="V11" s="81" t="s">
        <v>253</v>
      </c>
      <c r="W11" s="81">
        <v>2045000</v>
      </c>
      <c r="X11" s="81">
        <v>4.7777000000000003</v>
      </c>
      <c r="Y11" s="81">
        <v>4.8360000000000003</v>
      </c>
      <c r="Z11" s="81" t="s">
        <v>496</v>
      </c>
    </row>
    <row r="12" spans="1:26" ht="16.5">
      <c r="A12" s="81" t="s">
        <v>379</v>
      </c>
      <c r="B12" s="82">
        <v>43322</v>
      </c>
      <c r="C12" s="81" t="s">
        <v>10</v>
      </c>
      <c r="D12" s="82">
        <v>44418</v>
      </c>
      <c r="E12" s="81" t="s">
        <v>6</v>
      </c>
      <c r="F12" s="81" t="s">
        <v>768</v>
      </c>
      <c r="G12" s="83">
        <v>800000</v>
      </c>
      <c r="H12" s="83">
        <v>800000</v>
      </c>
      <c r="I12" s="81" t="s">
        <v>33</v>
      </c>
      <c r="J12" s="81">
        <v>6</v>
      </c>
      <c r="K12" s="81">
        <v>2.15</v>
      </c>
      <c r="L12" s="81" t="s">
        <v>34</v>
      </c>
      <c r="M12" s="81" t="s">
        <v>34</v>
      </c>
      <c r="N12" s="81" t="s">
        <v>35</v>
      </c>
      <c r="O12" s="81" t="s">
        <v>41</v>
      </c>
      <c r="P12" s="81" t="s">
        <v>37</v>
      </c>
      <c r="Q12" s="81" t="s">
        <v>38</v>
      </c>
      <c r="R12" s="81" t="s">
        <v>39</v>
      </c>
      <c r="S12" s="81">
        <v>1.3120000000000001</v>
      </c>
      <c r="T12" s="81">
        <v>10171.66</v>
      </c>
      <c r="U12" s="81">
        <v>10162.18</v>
      </c>
      <c r="V12" s="81" t="s">
        <v>196</v>
      </c>
      <c r="W12" s="81">
        <v>3030000</v>
      </c>
      <c r="X12" s="81">
        <v>1.905</v>
      </c>
      <c r="Y12" s="81">
        <v>1.9166000000000001</v>
      </c>
      <c r="Z12" s="81" t="s">
        <v>380</v>
      </c>
    </row>
    <row r="13" spans="1:26" ht="16.5">
      <c r="A13" s="81" t="s">
        <v>337</v>
      </c>
      <c r="B13" s="82">
        <v>43131</v>
      </c>
      <c r="C13" s="81" t="s">
        <v>5</v>
      </c>
      <c r="D13" s="82">
        <v>44227</v>
      </c>
      <c r="E13" s="81" t="s">
        <v>13</v>
      </c>
      <c r="F13" s="81" t="s">
        <v>769</v>
      </c>
      <c r="G13" s="83">
        <v>680000</v>
      </c>
      <c r="H13" s="83">
        <v>680000</v>
      </c>
      <c r="I13" s="81" t="s">
        <v>33</v>
      </c>
      <c r="J13" s="81">
        <v>6</v>
      </c>
      <c r="K13" s="81">
        <v>2.52</v>
      </c>
      <c r="L13" s="81" t="s">
        <v>34</v>
      </c>
      <c r="M13" s="81" t="s">
        <v>34</v>
      </c>
      <c r="N13" s="81" t="s">
        <v>35</v>
      </c>
      <c r="O13" s="81" t="s">
        <v>41</v>
      </c>
      <c r="P13" s="81" t="s">
        <v>37</v>
      </c>
      <c r="Q13" s="81" t="s">
        <v>38</v>
      </c>
      <c r="R13" s="81" t="s">
        <v>39</v>
      </c>
      <c r="S13" s="81">
        <v>1.284</v>
      </c>
      <c r="T13" s="81">
        <v>10193.19</v>
      </c>
      <c r="U13" s="81">
        <v>10174.290000000001</v>
      </c>
      <c r="V13" s="81" t="s">
        <v>196</v>
      </c>
      <c r="W13" s="81">
        <v>3030000</v>
      </c>
      <c r="X13" s="81">
        <v>1.3943000000000001</v>
      </c>
      <c r="Y13" s="81">
        <v>1.4060999999999999</v>
      </c>
      <c r="Z13" s="81" t="s">
        <v>338</v>
      </c>
    </row>
    <row r="14" spans="1:26" ht="16.5">
      <c r="A14" s="81" t="s">
        <v>328</v>
      </c>
      <c r="B14" s="82">
        <v>43040</v>
      </c>
      <c r="C14" s="81" t="s">
        <v>5</v>
      </c>
      <c r="D14" s="82">
        <v>44136</v>
      </c>
      <c r="E14" s="81" t="s">
        <v>13</v>
      </c>
      <c r="F14" s="81" t="s">
        <v>770</v>
      </c>
      <c r="G14" s="83">
        <v>1520000</v>
      </c>
      <c r="H14" s="83">
        <v>1520000</v>
      </c>
      <c r="I14" s="81" t="s">
        <v>33</v>
      </c>
      <c r="J14" s="81">
        <v>6</v>
      </c>
      <c r="K14" s="81">
        <v>2.39</v>
      </c>
      <c r="L14" s="81" t="s">
        <v>34</v>
      </c>
      <c r="M14" s="81" t="s">
        <v>34</v>
      </c>
      <c r="N14" s="81" t="s">
        <v>35</v>
      </c>
      <c r="O14" s="81" t="s">
        <v>41</v>
      </c>
      <c r="P14" s="81" t="s">
        <v>37</v>
      </c>
      <c r="Q14" s="81" t="s">
        <v>38</v>
      </c>
      <c r="R14" s="81" t="s">
        <v>39</v>
      </c>
      <c r="S14" s="81">
        <v>1.2709999999999999</v>
      </c>
      <c r="T14" s="81">
        <v>10207.77</v>
      </c>
      <c r="U14" s="81">
        <v>10130.780000000001</v>
      </c>
      <c r="V14" s="81" t="s">
        <v>196</v>
      </c>
      <c r="W14" s="81">
        <v>3030000</v>
      </c>
      <c r="X14" s="81">
        <v>1.1498999999999999</v>
      </c>
      <c r="Y14" s="81">
        <v>1.1577999999999999</v>
      </c>
      <c r="Z14" s="81" t="s">
        <v>329</v>
      </c>
    </row>
    <row r="15" spans="1:26" ht="16.5">
      <c r="A15" s="81" t="s">
        <v>254</v>
      </c>
      <c r="B15" s="82">
        <v>42333</v>
      </c>
      <c r="C15" s="81" t="s">
        <v>5</v>
      </c>
      <c r="D15" s="82">
        <v>44160</v>
      </c>
      <c r="E15" s="81" t="s">
        <v>5</v>
      </c>
      <c r="F15" s="81" t="s">
        <v>771</v>
      </c>
      <c r="G15" s="83">
        <v>880000</v>
      </c>
      <c r="H15" s="83">
        <v>880000</v>
      </c>
      <c r="I15" s="81" t="s">
        <v>33</v>
      </c>
      <c r="J15" s="81">
        <v>6</v>
      </c>
      <c r="K15" s="81">
        <v>2.12</v>
      </c>
      <c r="L15" s="81" t="s">
        <v>34</v>
      </c>
      <c r="M15" s="81" t="s">
        <v>34</v>
      </c>
      <c r="N15" s="81" t="s">
        <v>35</v>
      </c>
      <c r="O15" s="81" t="s">
        <v>41</v>
      </c>
      <c r="P15" s="81" t="s">
        <v>37</v>
      </c>
      <c r="Q15" s="81" t="s">
        <v>38</v>
      </c>
      <c r="R15" s="81" t="s">
        <v>39</v>
      </c>
      <c r="S15" s="81">
        <v>1.274</v>
      </c>
      <c r="T15" s="81">
        <v>10158.76</v>
      </c>
      <c r="U15" s="81">
        <v>10104.290000000001</v>
      </c>
      <c r="V15" s="81" t="s">
        <v>196</v>
      </c>
      <c r="W15" s="81">
        <v>3030000</v>
      </c>
      <c r="X15" s="81">
        <v>1.2165999999999999</v>
      </c>
      <c r="Y15" s="81">
        <v>1.2254</v>
      </c>
      <c r="Z15" s="81" t="s">
        <v>255</v>
      </c>
    </row>
    <row r="16" spans="1:26" ht="16.5">
      <c r="A16" s="81" t="s">
        <v>34</v>
      </c>
      <c r="B16" s="81" t="s">
        <v>34</v>
      </c>
      <c r="D16" s="81" t="s">
        <v>34</v>
      </c>
      <c r="F16" s="81" t="s">
        <v>34</v>
      </c>
      <c r="G16" s="81" t="s">
        <v>34</v>
      </c>
      <c r="H16" s="81" t="s">
        <v>34</v>
      </c>
      <c r="I16" s="81" t="s">
        <v>34</v>
      </c>
      <c r="J16" s="81" t="s">
        <v>34</v>
      </c>
      <c r="K16" s="81">
        <v>1.34</v>
      </c>
      <c r="L16" s="81" t="s">
        <v>34</v>
      </c>
      <c r="M16" s="81" t="s">
        <v>34</v>
      </c>
      <c r="N16" s="81" t="s">
        <v>35</v>
      </c>
      <c r="O16" s="81" t="s">
        <v>34</v>
      </c>
      <c r="P16" s="81" t="s">
        <v>271</v>
      </c>
      <c r="Q16" s="81" t="s">
        <v>34</v>
      </c>
      <c r="R16" s="81" t="s">
        <v>34</v>
      </c>
      <c r="S16" s="81" t="s">
        <v>34</v>
      </c>
      <c r="T16" s="81" t="s">
        <v>34</v>
      </c>
      <c r="V16" s="81" t="s">
        <v>34</v>
      </c>
      <c r="W16" s="81" t="s">
        <v>34</v>
      </c>
      <c r="X16" s="81" t="s">
        <v>34</v>
      </c>
      <c r="Y16" s="81" t="s">
        <v>34</v>
      </c>
      <c r="Z16" s="81" t="s">
        <v>34</v>
      </c>
    </row>
    <row r="17" spans="1:26" ht="16.5">
      <c r="A17" s="81" t="s">
        <v>34</v>
      </c>
      <c r="B17" s="81" t="s">
        <v>34</v>
      </c>
      <c r="D17" s="81" t="s">
        <v>34</v>
      </c>
      <c r="F17" s="81" t="s">
        <v>34</v>
      </c>
      <c r="G17" s="81" t="s">
        <v>34</v>
      </c>
      <c r="H17" s="81" t="s">
        <v>34</v>
      </c>
      <c r="I17" s="81" t="s">
        <v>34</v>
      </c>
      <c r="J17" s="81" t="s">
        <v>34</v>
      </c>
      <c r="K17" s="81">
        <v>1.61</v>
      </c>
      <c r="L17" s="81" t="s">
        <v>34</v>
      </c>
      <c r="M17" s="81" t="s">
        <v>34</v>
      </c>
      <c r="N17" s="81" t="s">
        <v>35</v>
      </c>
      <c r="O17" s="81" t="s">
        <v>34</v>
      </c>
      <c r="P17" s="81" t="s">
        <v>271</v>
      </c>
      <c r="Q17" s="81" t="s">
        <v>34</v>
      </c>
      <c r="R17" s="81" t="s">
        <v>34</v>
      </c>
      <c r="S17" s="81" t="s">
        <v>34</v>
      </c>
      <c r="T17" s="81" t="s">
        <v>34</v>
      </c>
      <c r="V17" s="81" t="s">
        <v>34</v>
      </c>
      <c r="W17" s="81" t="s">
        <v>34</v>
      </c>
      <c r="X17" s="81" t="s">
        <v>34</v>
      </c>
      <c r="Y17" s="81" t="s">
        <v>34</v>
      </c>
      <c r="Z17" s="81" t="s">
        <v>34</v>
      </c>
    </row>
    <row r="18" spans="1:26" ht="16.5">
      <c r="A18" s="81" t="s">
        <v>34</v>
      </c>
      <c r="B18" s="81" t="s">
        <v>34</v>
      </c>
      <c r="D18" s="81" t="s">
        <v>34</v>
      </c>
      <c r="F18" s="81" t="s">
        <v>34</v>
      </c>
      <c r="G18" s="81" t="s">
        <v>34</v>
      </c>
      <c r="H18" s="81" t="s">
        <v>34</v>
      </c>
      <c r="I18" s="81" t="s">
        <v>34</v>
      </c>
      <c r="J18" s="81" t="s">
        <v>34</v>
      </c>
      <c r="K18" s="81">
        <v>2.84</v>
      </c>
      <c r="L18" s="81" t="s">
        <v>34</v>
      </c>
      <c r="M18" s="81" t="s">
        <v>34</v>
      </c>
      <c r="N18" s="81" t="s">
        <v>35</v>
      </c>
      <c r="O18" s="81" t="s">
        <v>34</v>
      </c>
      <c r="P18" s="81" t="s">
        <v>271</v>
      </c>
      <c r="Q18" s="81" t="s">
        <v>34</v>
      </c>
      <c r="R18" s="81" t="s">
        <v>34</v>
      </c>
      <c r="S18" s="81" t="s">
        <v>34</v>
      </c>
      <c r="T18" s="81" t="s">
        <v>34</v>
      </c>
      <c r="V18" s="81" t="s">
        <v>34</v>
      </c>
      <c r="W18" s="81" t="s">
        <v>34</v>
      </c>
      <c r="X18" s="81" t="s">
        <v>34</v>
      </c>
      <c r="Y18" s="81" t="s">
        <v>34</v>
      </c>
      <c r="Z18" s="81" t="s">
        <v>34</v>
      </c>
    </row>
    <row r="19" spans="1:26" ht="16.5">
      <c r="A19" s="81" t="s">
        <v>34</v>
      </c>
      <c r="B19" s="81" t="s">
        <v>34</v>
      </c>
      <c r="D19" s="81" t="s">
        <v>34</v>
      </c>
      <c r="F19" s="81" t="s">
        <v>34</v>
      </c>
      <c r="G19" s="81" t="s">
        <v>34</v>
      </c>
      <c r="H19" s="81" t="s">
        <v>34</v>
      </c>
      <c r="I19" s="81" t="s">
        <v>34</v>
      </c>
      <c r="J19" s="81" t="s">
        <v>34</v>
      </c>
      <c r="K19" s="81">
        <v>2.98</v>
      </c>
      <c r="L19" s="81" t="s">
        <v>34</v>
      </c>
      <c r="M19" s="81" t="s">
        <v>34</v>
      </c>
      <c r="N19" s="81" t="s">
        <v>35</v>
      </c>
      <c r="O19" s="81" t="s">
        <v>34</v>
      </c>
      <c r="P19" s="81" t="s">
        <v>271</v>
      </c>
      <c r="Q19" s="81" t="s">
        <v>34</v>
      </c>
      <c r="R19" s="81" t="s">
        <v>34</v>
      </c>
      <c r="S19" s="81" t="s">
        <v>34</v>
      </c>
      <c r="T19" s="81" t="s">
        <v>34</v>
      </c>
      <c r="V19" s="81" t="s">
        <v>34</v>
      </c>
      <c r="W19" s="81" t="s">
        <v>34</v>
      </c>
      <c r="X19" s="81" t="s">
        <v>34</v>
      </c>
      <c r="Y19" s="81" t="s">
        <v>34</v>
      </c>
      <c r="Z19" s="81" t="s">
        <v>34</v>
      </c>
    </row>
    <row r="20" spans="1:26" ht="16.5">
      <c r="A20" s="81" t="s">
        <v>34</v>
      </c>
      <c r="B20" s="81" t="s">
        <v>34</v>
      </c>
      <c r="D20" s="81" t="s">
        <v>34</v>
      </c>
      <c r="F20" s="81" t="s">
        <v>34</v>
      </c>
      <c r="G20" s="81" t="s">
        <v>34</v>
      </c>
      <c r="H20" s="81" t="s">
        <v>34</v>
      </c>
      <c r="I20" s="81" t="s">
        <v>34</v>
      </c>
      <c r="J20" s="81" t="s">
        <v>34</v>
      </c>
      <c r="K20" s="81">
        <v>2.98</v>
      </c>
      <c r="L20" s="81" t="s">
        <v>34</v>
      </c>
      <c r="M20" s="81" t="s">
        <v>34</v>
      </c>
      <c r="N20" s="81" t="s">
        <v>35</v>
      </c>
      <c r="O20" s="81" t="s">
        <v>34</v>
      </c>
      <c r="P20" s="81" t="s">
        <v>271</v>
      </c>
      <c r="Q20" s="81" t="s">
        <v>34</v>
      </c>
      <c r="R20" s="81" t="s">
        <v>34</v>
      </c>
      <c r="S20" s="81" t="s">
        <v>34</v>
      </c>
      <c r="T20" s="81" t="s">
        <v>34</v>
      </c>
      <c r="V20" s="81" t="s">
        <v>34</v>
      </c>
      <c r="W20" s="81" t="s">
        <v>34</v>
      </c>
      <c r="X20" s="81" t="s">
        <v>34</v>
      </c>
      <c r="Y20" s="81" t="s">
        <v>34</v>
      </c>
      <c r="Z20" s="81" t="s">
        <v>34</v>
      </c>
    </row>
    <row r="21" spans="1:26" ht="16.5">
      <c r="A21" s="81" t="s">
        <v>34</v>
      </c>
      <c r="B21" s="81" t="s">
        <v>34</v>
      </c>
      <c r="D21" s="81" t="s">
        <v>34</v>
      </c>
      <c r="F21" s="81" t="s">
        <v>34</v>
      </c>
      <c r="G21" s="81" t="s">
        <v>34</v>
      </c>
      <c r="H21" s="81" t="s">
        <v>34</v>
      </c>
      <c r="I21" s="81" t="s">
        <v>34</v>
      </c>
      <c r="J21" s="81" t="s">
        <v>34</v>
      </c>
      <c r="K21" s="81">
        <v>3.12</v>
      </c>
      <c r="L21" s="81" t="s">
        <v>34</v>
      </c>
      <c r="M21" s="81" t="s">
        <v>34</v>
      </c>
      <c r="N21" s="81" t="s">
        <v>35</v>
      </c>
      <c r="O21" s="81" t="s">
        <v>34</v>
      </c>
      <c r="P21" s="81" t="s">
        <v>271</v>
      </c>
      <c r="Q21" s="81" t="s">
        <v>34</v>
      </c>
      <c r="R21" s="81" t="s">
        <v>34</v>
      </c>
      <c r="S21" s="81" t="s">
        <v>34</v>
      </c>
      <c r="T21" s="81" t="s">
        <v>34</v>
      </c>
      <c r="V21" s="81" t="s">
        <v>34</v>
      </c>
      <c r="W21" s="81" t="s">
        <v>34</v>
      </c>
      <c r="X21" s="81" t="s">
        <v>34</v>
      </c>
      <c r="Y21" s="81" t="s">
        <v>34</v>
      </c>
      <c r="Z21" s="81" t="s">
        <v>34</v>
      </c>
    </row>
    <row r="22" spans="1:26" ht="16.5">
      <c r="A22" s="81" t="s">
        <v>34</v>
      </c>
      <c r="B22" s="81" t="s">
        <v>34</v>
      </c>
      <c r="D22" s="81" t="s">
        <v>34</v>
      </c>
      <c r="F22" s="81" t="s">
        <v>34</v>
      </c>
      <c r="G22" s="81" t="s">
        <v>34</v>
      </c>
      <c r="H22" s="81" t="s">
        <v>34</v>
      </c>
      <c r="I22" s="81" t="s">
        <v>34</v>
      </c>
      <c r="J22" s="81" t="s">
        <v>34</v>
      </c>
      <c r="K22" s="81">
        <v>2.74</v>
      </c>
      <c r="L22" s="81" t="s">
        <v>34</v>
      </c>
      <c r="M22" s="81" t="s">
        <v>34</v>
      </c>
      <c r="N22" s="81" t="s">
        <v>35</v>
      </c>
      <c r="O22" s="81" t="s">
        <v>34</v>
      </c>
      <c r="P22" s="81" t="s">
        <v>271</v>
      </c>
      <c r="Q22" s="81" t="s">
        <v>34</v>
      </c>
      <c r="R22" s="81" t="s">
        <v>34</v>
      </c>
      <c r="S22" s="81" t="s">
        <v>34</v>
      </c>
      <c r="T22" s="81" t="s">
        <v>34</v>
      </c>
      <c r="V22" s="81" t="s">
        <v>34</v>
      </c>
      <c r="W22" s="81" t="s">
        <v>34</v>
      </c>
      <c r="X22" s="81" t="s">
        <v>34</v>
      </c>
      <c r="Y22" s="81" t="s">
        <v>34</v>
      </c>
      <c r="Z22" s="81" t="s">
        <v>34</v>
      </c>
    </row>
    <row r="23" spans="1:26" ht="16.5">
      <c r="A23" s="81" t="s">
        <v>34</v>
      </c>
      <c r="B23" s="81" t="s">
        <v>34</v>
      </c>
      <c r="D23" s="81" t="s">
        <v>34</v>
      </c>
      <c r="F23" s="81" t="s">
        <v>34</v>
      </c>
      <c r="G23" s="81" t="s">
        <v>34</v>
      </c>
      <c r="H23" s="81" t="s">
        <v>34</v>
      </c>
      <c r="I23" s="81" t="s">
        <v>34</v>
      </c>
      <c r="J23" s="81" t="s">
        <v>34</v>
      </c>
      <c r="K23" s="81">
        <v>3.67</v>
      </c>
      <c r="L23" s="81" t="s">
        <v>34</v>
      </c>
      <c r="M23" s="81" t="s">
        <v>34</v>
      </c>
      <c r="N23" s="81" t="s">
        <v>35</v>
      </c>
      <c r="O23" s="81" t="s">
        <v>34</v>
      </c>
      <c r="P23" s="81" t="s">
        <v>271</v>
      </c>
      <c r="Q23" s="81" t="s">
        <v>34</v>
      </c>
      <c r="R23" s="81" t="s">
        <v>34</v>
      </c>
      <c r="S23" s="81" t="s">
        <v>34</v>
      </c>
      <c r="T23" s="81" t="s">
        <v>34</v>
      </c>
      <c r="V23" s="81" t="s">
        <v>34</v>
      </c>
      <c r="W23" s="81" t="s">
        <v>34</v>
      </c>
      <c r="X23" s="81" t="s">
        <v>34</v>
      </c>
      <c r="Y23" s="81" t="s">
        <v>34</v>
      </c>
      <c r="Z23" s="81" t="s">
        <v>34</v>
      </c>
    </row>
    <row r="24" spans="1:26" ht="16.5">
      <c r="A24" s="81" t="s">
        <v>34</v>
      </c>
      <c r="B24" s="81" t="s">
        <v>34</v>
      </c>
      <c r="D24" s="81" t="s">
        <v>34</v>
      </c>
      <c r="F24" s="81" t="s">
        <v>34</v>
      </c>
      <c r="G24" s="81" t="s">
        <v>34</v>
      </c>
      <c r="H24" s="81" t="s">
        <v>34</v>
      </c>
      <c r="I24" s="81" t="s">
        <v>34</v>
      </c>
      <c r="J24" s="81" t="s">
        <v>34</v>
      </c>
      <c r="K24" s="81">
        <v>3.04</v>
      </c>
      <c r="L24" s="81" t="s">
        <v>34</v>
      </c>
      <c r="M24" s="81" t="s">
        <v>34</v>
      </c>
      <c r="N24" s="81" t="s">
        <v>35</v>
      </c>
      <c r="O24" s="81" t="s">
        <v>34</v>
      </c>
      <c r="P24" s="81" t="s">
        <v>271</v>
      </c>
      <c r="Q24" s="81" t="s">
        <v>34</v>
      </c>
      <c r="R24" s="81" t="s">
        <v>34</v>
      </c>
      <c r="S24" s="81" t="s">
        <v>34</v>
      </c>
      <c r="T24" s="81" t="s">
        <v>34</v>
      </c>
      <c r="V24" s="81" t="s">
        <v>34</v>
      </c>
      <c r="W24" s="81" t="s">
        <v>34</v>
      </c>
      <c r="X24" s="81" t="s">
        <v>34</v>
      </c>
      <c r="Y24" s="81" t="s">
        <v>34</v>
      </c>
      <c r="Z24" s="81" t="s">
        <v>34</v>
      </c>
    </row>
    <row r="25" spans="1:26" ht="16.5">
      <c r="A25" s="81" t="s">
        <v>34</v>
      </c>
      <c r="B25" s="81" t="s">
        <v>34</v>
      </c>
      <c r="D25" s="81" t="s">
        <v>34</v>
      </c>
      <c r="F25" s="81" t="s">
        <v>34</v>
      </c>
      <c r="G25" s="81" t="s">
        <v>34</v>
      </c>
      <c r="H25" s="81" t="s">
        <v>34</v>
      </c>
      <c r="I25" s="81" t="s">
        <v>34</v>
      </c>
      <c r="J25" s="81" t="s">
        <v>34</v>
      </c>
      <c r="K25" s="81">
        <v>3.07</v>
      </c>
      <c r="L25" s="81" t="s">
        <v>34</v>
      </c>
      <c r="M25" s="81" t="s">
        <v>34</v>
      </c>
      <c r="N25" s="81" t="s">
        <v>35</v>
      </c>
      <c r="O25" s="81" t="s">
        <v>34</v>
      </c>
      <c r="P25" s="81" t="s">
        <v>271</v>
      </c>
      <c r="Q25" s="81" t="s">
        <v>34</v>
      </c>
      <c r="R25" s="81" t="s">
        <v>34</v>
      </c>
      <c r="S25" s="81" t="s">
        <v>34</v>
      </c>
      <c r="T25" s="81" t="s">
        <v>34</v>
      </c>
      <c r="V25" s="81" t="s">
        <v>34</v>
      </c>
      <c r="W25" s="81" t="s">
        <v>34</v>
      </c>
      <c r="X25" s="81" t="s">
        <v>34</v>
      </c>
      <c r="Y25" s="81" t="s">
        <v>34</v>
      </c>
      <c r="Z25" s="81" t="s">
        <v>34</v>
      </c>
    </row>
    <row r="26" spans="1:26" ht="16.5">
      <c r="A26" s="81" t="s">
        <v>34</v>
      </c>
      <c r="B26" s="81" t="s">
        <v>34</v>
      </c>
      <c r="D26" s="81" t="s">
        <v>34</v>
      </c>
      <c r="F26" s="81" t="s">
        <v>34</v>
      </c>
      <c r="G26" s="81" t="s">
        <v>34</v>
      </c>
      <c r="H26" s="81" t="s">
        <v>34</v>
      </c>
      <c r="I26" s="81" t="s">
        <v>34</v>
      </c>
      <c r="J26" s="81" t="s">
        <v>34</v>
      </c>
      <c r="K26" s="81">
        <v>4.1399999999999997</v>
      </c>
      <c r="L26" s="81" t="s">
        <v>34</v>
      </c>
      <c r="M26" s="81" t="s">
        <v>34</v>
      </c>
      <c r="N26" s="81" t="s">
        <v>35</v>
      </c>
      <c r="O26" s="81" t="s">
        <v>34</v>
      </c>
      <c r="P26" s="81" t="s">
        <v>271</v>
      </c>
      <c r="Q26" s="81" t="s">
        <v>34</v>
      </c>
      <c r="R26" s="81" t="s">
        <v>34</v>
      </c>
      <c r="S26" s="81" t="s">
        <v>34</v>
      </c>
      <c r="T26" s="81" t="s">
        <v>34</v>
      </c>
      <c r="V26" s="81" t="s">
        <v>34</v>
      </c>
      <c r="W26" s="81" t="s">
        <v>34</v>
      </c>
      <c r="X26" s="81" t="s">
        <v>34</v>
      </c>
      <c r="Y26" s="81" t="s">
        <v>34</v>
      </c>
      <c r="Z26" s="81" t="s">
        <v>34</v>
      </c>
    </row>
    <row r="27" spans="1:26" ht="16.5">
      <c r="A27" s="81" t="s">
        <v>34</v>
      </c>
      <c r="B27" s="81" t="s">
        <v>34</v>
      </c>
      <c r="D27" s="81" t="s">
        <v>34</v>
      </c>
      <c r="F27" s="81" t="s">
        <v>34</v>
      </c>
      <c r="G27" s="81" t="s">
        <v>34</v>
      </c>
      <c r="H27" s="81" t="s">
        <v>34</v>
      </c>
      <c r="I27" s="81" t="s">
        <v>34</v>
      </c>
      <c r="J27" s="81" t="s">
        <v>34</v>
      </c>
      <c r="K27" s="81">
        <v>3.88</v>
      </c>
      <c r="L27" s="81" t="s">
        <v>34</v>
      </c>
      <c r="M27" s="81" t="s">
        <v>34</v>
      </c>
      <c r="N27" s="81" t="s">
        <v>35</v>
      </c>
      <c r="O27" s="81" t="s">
        <v>34</v>
      </c>
      <c r="P27" s="81" t="s">
        <v>271</v>
      </c>
      <c r="Q27" s="81" t="s">
        <v>34</v>
      </c>
      <c r="R27" s="81" t="s">
        <v>34</v>
      </c>
      <c r="S27" s="81" t="s">
        <v>34</v>
      </c>
      <c r="T27" s="81" t="s">
        <v>34</v>
      </c>
      <c r="V27" s="81" t="s">
        <v>34</v>
      </c>
      <c r="W27" s="81" t="s">
        <v>34</v>
      </c>
      <c r="X27" s="81" t="s">
        <v>34</v>
      </c>
      <c r="Y27" s="81" t="s">
        <v>34</v>
      </c>
      <c r="Z27" s="81" t="s">
        <v>34</v>
      </c>
    </row>
    <row r="28" spans="1:26" ht="16.5">
      <c r="A28" s="81" t="s">
        <v>511</v>
      </c>
      <c r="B28" s="82">
        <v>43542</v>
      </c>
      <c r="C28" s="81" t="s">
        <v>40</v>
      </c>
      <c r="D28" s="82">
        <v>45369</v>
      </c>
      <c r="E28" s="81" t="s">
        <v>40</v>
      </c>
      <c r="F28" s="81" t="s">
        <v>772</v>
      </c>
      <c r="G28" s="83">
        <v>360000</v>
      </c>
      <c r="H28" s="83">
        <v>360000</v>
      </c>
      <c r="I28" s="81" t="s">
        <v>33</v>
      </c>
      <c r="J28" s="81">
        <v>6</v>
      </c>
      <c r="K28" s="81">
        <v>1.97</v>
      </c>
      <c r="L28" s="81" t="s">
        <v>34</v>
      </c>
      <c r="M28" s="81" t="s">
        <v>34</v>
      </c>
      <c r="N28" s="81" t="s">
        <v>35</v>
      </c>
      <c r="O28" s="81" t="s">
        <v>36</v>
      </c>
      <c r="P28" s="81" t="s">
        <v>37</v>
      </c>
      <c r="Q28" s="81" t="s">
        <v>38</v>
      </c>
      <c r="R28" s="81" t="s">
        <v>39</v>
      </c>
      <c r="S28" s="81">
        <v>1.33</v>
      </c>
      <c r="T28" s="81">
        <v>10369.5</v>
      </c>
      <c r="U28" s="81">
        <v>10282.76</v>
      </c>
      <c r="V28" s="81" t="s">
        <v>196</v>
      </c>
      <c r="W28" s="81">
        <v>3030000</v>
      </c>
      <c r="X28" s="81">
        <v>4.3179999999999996</v>
      </c>
      <c r="Y28" s="81">
        <v>4.3421000000000003</v>
      </c>
      <c r="Z28" s="81" t="s">
        <v>512</v>
      </c>
    </row>
    <row r="29" spans="1:26" ht="16.5">
      <c r="A29" s="81" t="s">
        <v>458</v>
      </c>
      <c r="B29" s="82">
        <v>43479</v>
      </c>
      <c r="C29" s="81" t="s">
        <v>40</v>
      </c>
      <c r="D29" s="82">
        <v>45305</v>
      </c>
      <c r="E29" s="81" t="s">
        <v>13</v>
      </c>
      <c r="F29" s="81" t="s">
        <v>773</v>
      </c>
      <c r="G29" s="83">
        <v>580000</v>
      </c>
      <c r="H29" s="83">
        <v>580000</v>
      </c>
      <c r="I29" s="81" t="s">
        <v>33</v>
      </c>
      <c r="J29" s="81">
        <v>6</v>
      </c>
      <c r="K29" s="81">
        <v>1.98</v>
      </c>
      <c r="L29" s="81" t="s">
        <v>34</v>
      </c>
      <c r="M29" s="81" t="s">
        <v>34</v>
      </c>
      <c r="N29" s="81" t="s">
        <v>35</v>
      </c>
      <c r="O29" s="81" t="s">
        <v>36</v>
      </c>
      <c r="P29" s="81" t="s">
        <v>37</v>
      </c>
      <c r="Q29" s="81" t="s">
        <v>38</v>
      </c>
      <c r="R29" s="81" t="s">
        <v>39</v>
      </c>
      <c r="S29" s="81">
        <v>1.33</v>
      </c>
      <c r="T29" s="81">
        <v>10299.86</v>
      </c>
      <c r="U29" s="81">
        <v>10276.120000000001</v>
      </c>
      <c r="V29" s="81" t="s">
        <v>196</v>
      </c>
      <c r="W29" s="81">
        <v>3030000</v>
      </c>
      <c r="X29" s="81">
        <v>4.18</v>
      </c>
      <c r="Y29" s="81">
        <v>4.2073999999999998</v>
      </c>
      <c r="Z29" s="81" t="s">
        <v>459</v>
      </c>
    </row>
    <row r="30" spans="1:26" ht="16.5">
      <c r="A30" s="81" t="s">
        <v>344</v>
      </c>
      <c r="B30" s="82">
        <v>43145</v>
      </c>
      <c r="C30" s="81" t="s">
        <v>5</v>
      </c>
      <c r="D30" s="82">
        <v>44971</v>
      </c>
      <c r="E30" s="81" t="s">
        <v>6</v>
      </c>
      <c r="F30" s="81" t="s">
        <v>774</v>
      </c>
      <c r="G30" s="83">
        <v>320000</v>
      </c>
      <c r="H30" s="83">
        <v>320000</v>
      </c>
      <c r="I30" s="81" t="s">
        <v>33</v>
      </c>
      <c r="J30" s="81">
        <v>6</v>
      </c>
      <c r="K30" s="81">
        <v>2.78</v>
      </c>
      <c r="L30" s="81" t="s">
        <v>34</v>
      </c>
      <c r="M30" s="81" t="s">
        <v>34</v>
      </c>
      <c r="N30" s="81" t="s">
        <v>35</v>
      </c>
      <c r="O30" s="81" t="s">
        <v>36</v>
      </c>
      <c r="P30" s="81" t="s">
        <v>37</v>
      </c>
      <c r="Q30" s="81" t="s">
        <v>294</v>
      </c>
      <c r="R30" s="81" t="s">
        <v>39</v>
      </c>
      <c r="S30" s="81">
        <v>1.3280000000000001</v>
      </c>
      <c r="T30" s="81">
        <v>10500.38</v>
      </c>
      <c r="U30" s="81">
        <v>10491.01</v>
      </c>
      <c r="V30" s="81" t="s">
        <v>196</v>
      </c>
      <c r="W30" s="81">
        <v>3030000</v>
      </c>
      <c r="X30" s="81">
        <v>3.3018000000000001</v>
      </c>
      <c r="Y30" s="81">
        <v>3.3260999999999998</v>
      </c>
      <c r="Z30" s="81" t="s">
        <v>345</v>
      </c>
    </row>
    <row r="31" spans="1:26" ht="16.5">
      <c r="A31" s="81" t="s">
        <v>318</v>
      </c>
      <c r="B31" s="82">
        <v>42970</v>
      </c>
      <c r="C31" s="81" t="s">
        <v>5</v>
      </c>
      <c r="D31" s="82">
        <v>44796</v>
      </c>
      <c r="E31" s="81" t="s">
        <v>6</v>
      </c>
      <c r="F31" s="81" t="s">
        <v>775</v>
      </c>
      <c r="G31" s="83">
        <v>1200000</v>
      </c>
      <c r="H31" s="83">
        <v>1200000</v>
      </c>
      <c r="I31" s="81" t="s">
        <v>33</v>
      </c>
      <c r="J31" s="81">
        <v>6</v>
      </c>
      <c r="K31" s="81">
        <v>2.2000000000000002</v>
      </c>
      <c r="L31" s="81" t="s">
        <v>34</v>
      </c>
      <c r="M31" s="81" t="s">
        <v>34</v>
      </c>
      <c r="N31" s="81" t="s">
        <v>35</v>
      </c>
      <c r="O31" s="81" t="s">
        <v>36</v>
      </c>
      <c r="P31" s="81" t="s">
        <v>37</v>
      </c>
      <c r="Q31" s="81" t="s">
        <v>294</v>
      </c>
      <c r="R31" s="81" t="s">
        <v>39</v>
      </c>
      <c r="S31" s="81">
        <v>1.329</v>
      </c>
      <c r="T31" s="81">
        <v>10257.530000000001</v>
      </c>
      <c r="U31" s="81">
        <v>10256.32</v>
      </c>
      <c r="V31" s="81" t="s">
        <v>196</v>
      </c>
      <c r="W31" s="81">
        <v>3030000</v>
      </c>
      <c r="X31" s="81">
        <v>2.8860000000000001</v>
      </c>
      <c r="Y31" s="81">
        <v>2.9043999999999999</v>
      </c>
      <c r="Z31" s="81" t="s">
        <v>319</v>
      </c>
    </row>
    <row r="32" spans="1:26" ht="16.5">
      <c r="A32" s="81" t="s">
        <v>306</v>
      </c>
      <c r="B32" s="82">
        <v>42900</v>
      </c>
      <c r="C32" s="81" t="s">
        <v>5</v>
      </c>
      <c r="D32" s="82">
        <v>44726</v>
      </c>
      <c r="E32" s="81" t="s">
        <v>6</v>
      </c>
      <c r="F32" s="81" t="s">
        <v>776</v>
      </c>
      <c r="G32" s="83">
        <v>900000</v>
      </c>
      <c r="H32" s="83">
        <v>900000</v>
      </c>
      <c r="I32" s="81" t="s">
        <v>33</v>
      </c>
      <c r="J32" s="81">
        <v>6</v>
      </c>
      <c r="K32" s="81">
        <v>2.11</v>
      </c>
      <c r="L32" s="81" t="s">
        <v>34</v>
      </c>
      <c r="M32" s="81" t="s">
        <v>34</v>
      </c>
      <c r="N32" s="81" t="s">
        <v>35</v>
      </c>
      <c r="O32" s="81" t="s">
        <v>36</v>
      </c>
      <c r="P32" s="81" t="s">
        <v>37</v>
      </c>
      <c r="Q32" s="81" t="s">
        <v>294</v>
      </c>
      <c r="R32" s="81" t="s">
        <v>39</v>
      </c>
      <c r="S32" s="81">
        <v>1.327</v>
      </c>
      <c r="T32" s="81">
        <v>10257.52</v>
      </c>
      <c r="U32" s="81">
        <v>10215.19</v>
      </c>
      <c r="V32" s="81" t="s">
        <v>196</v>
      </c>
      <c r="W32" s="81">
        <v>3030000</v>
      </c>
      <c r="X32" s="81">
        <v>2.6996000000000002</v>
      </c>
      <c r="Y32" s="81">
        <v>2.7155999999999998</v>
      </c>
      <c r="Z32" s="81" t="s">
        <v>307</v>
      </c>
    </row>
    <row r="33" spans="1:26" ht="16.5">
      <c r="A33" s="81" t="s">
        <v>256</v>
      </c>
      <c r="B33" s="82">
        <v>42025</v>
      </c>
      <c r="C33" s="81" t="s">
        <v>5</v>
      </c>
      <c r="D33" s="82">
        <v>44582</v>
      </c>
      <c r="E33" s="81" t="s">
        <v>10</v>
      </c>
      <c r="F33" s="81" t="s">
        <v>777</v>
      </c>
      <c r="G33" s="83">
        <v>600000</v>
      </c>
      <c r="H33" s="83">
        <v>600000</v>
      </c>
      <c r="I33" s="81" t="s">
        <v>33</v>
      </c>
      <c r="J33" s="81">
        <v>6</v>
      </c>
      <c r="K33" s="81">
        <v>2.34</v>
      </c>
      <c r="L33" s="81" t="s">
        <v>34</v>
      </c>
      <c r="M33" s="81" t="s">
        <v>34</v>
      </c>
      <c r="N33" s="81" t="s">
        <v>35</v>
      </c>
      <c r="O33" s="81" t="s">
        <v>36</v>
      </c>
      <c r="P33" s="81" t="s">
        <v>37</v>
      </c>
      <c r="Q33" s="81" t="s">
        <v>38</v>
      </c>
      <c r="R33" s="81" t="s">
        <v>39</v>
      </c>
      <c r="S33" s="81">
        <v>1.329</v>
      </c>
      <c r="T33" s="81">
        <v>10261.98</v>
      </c>
      <c r="U33" s="81">
        <v>10237.59</v>
      </c>
      <c r="V33" s="81" t="s">
        <v>196</v>
      </c>
      <c r="W33" s="81">
        <v>3030000</v>
      </c>
      <c r="X33" s="81">
        <v>2.3231000000000002</v>
      </c>
      <c r="Y33" s="81">
        <v>2.3408000000000002</v>
      </c>
      <c r="Z33" s="81" t="s">
        <v>257</v>
      </c>
    </row>
    <row r="34" spans="1:26" ht="16.5">
      <c r="A34" s="81" t="s">
        <v>390</v>
      </c>
      <c r="B34" s="82">
        <v>43334</v>
      </c>
      <c r="C34" s="81" t="s">
        <v>5</v>
      </c>
      <c r="D34" s="82">
        <v>44430</v>
      </c>
      <c r="E34" s="81" t="s">
        <v>13</v>
      </c>
      <c r="F34" s="81" t="s">
        <v>778</v>
      </c>
      <c r="G34" s="83">
        <v>450000</v>
      </c>
      <c r="H34" s="83">
        <v>450000</v>
      </c>
      <c r="I34" s="81" t="s">
        <v>33</v>
      </c>
      <c r="J34" s="81">
        <v>6</v>
      </c>
      <c r="K34" s="81">
        <v>2.09</v>
      </c>
      <c r="L34" s="81" t="s">
        <v>34</v>
      </c>
      <c r="M34" s="81" t="s">
        <v>34</v>
      </c>
      <c r="N34" s="81" t="s">
        <v>35</v>
      </c>
      <c r="O34" s="81" t="s">
        <v>36</v>
      </c>
      <c r="P34" s="81" t="s">
        <v>37</v>
      </c>
      <c r="Q34" s="81" t="s">
        <v>38</v>
      </c>
      <c r="R34" s="81" t="s">
        <v>39</v>
      </c>
      <c r="S34" s="81">
        <v>1.3440000000000001</v>
      </c>
      <c r="T34" s="81">
        <v>10149.299999999999</v>
      </c>
      <c r="U34" s="81">
        <v>10146.709999999999</v>
      </c>
      <c r="V34" s="81" t="s">
        <v>196</v>
      </c>
      <c r="W34" s="81">
        <v>3030000</v>
      </c>
      <c r="X34" s="81">
        <v>1.9377</v>
      </c>
      <c r="Y34" s="81">
        <v>1.9502999999999999</v>
      </c>
      <c r="Z34" s="81" t="s">
        <v>391</v>
      </c>
    </row>
    <row r="35" spans="1:26" ht="16.5">
      <c r="A35" s="81" t="s">
        <v>362</v>
      </c>
      <c r="B35" s="82">
        <v>43248</v>
      </c>
      <c r="C35" s="81" t="s">
        <v>40</v>
      </c>
      <c r="D35" s="82">
        <v>44344</v>
      </c>
      <c r="E35" s="81" t="s">
        <v>10</v>
      </c>
      <c r="F35" s="81" t="s">
        <v>779</v>
      </c>
      <c r="G35" s="83">
        <v>400000</v>
      </c>
      <c r="H35" s="83">
        <v>400000</v>
      </c>
      <c r="I35" s="81" t="s">
        <v>33</v>
      </c>
      <c r="J35" s="81">
        <v>6</v>
      </c>
      <c r="K35" s="81">
        <v>2.37</v>
      </c>
      <c r="L35" s="81" t="s">
        <v>34</v>
      </c>
      <c r="M35" s="81" t="s">
        <v>34</v>
      </c>
      <c r="N35" s="81" t="s">
        <v>35</v>
      </c>
      <c r="O35" s="81" t="s">
        <v>36</v>
      </c>
      <c r="P35" s="81" t="s">
        <v>37</v>
      </c>
      <c r="Q35" s="81" t="s">
        <v>294</v>
      </c>
      <c r="R35" s="81" t="s">
        <v>39</v>
      </c>
      <c r="S35" s="81">
        <v>1.331</v>
      </c>
      <c r="T35" s="81">
        <v>10238.530000000001</v>
      </c>
      <c r="U35" s="81">
        <v>10180.1</v>
      </c>
      <c r="V35" s="81" t="s">
        <v>196</v>
      </c>
      <c r="W35" s="81">
        <v>3030000</v>
      </c>
      <c r="X35" s="81">
        <v>1.7023999999999999</v>
      </c>
      <c r="Y35" s="81">
        <v>1.7108000000000001</v>
      </c>
      <c r="Z35" s="81" t="s">
        <v>363</v>
      </c>
    </row>
    <row r="36" spans="1:26" ht="16.5">
      <c r="A36" s="81" t="s">
        <v>303</v>
      </c>
      <c r="B36" s="82">
        <v>42872</v>
      </c>
      <c r="C36" s="81" t="s">
        <v>5</v>
      </c>
      <c r="D36" s="82">
        <v>44333</v>
      </c>
      <c r="E36" s="81" t="s">
        <v>40</v>
      </c>
      <c r="F36" s="81" t="s">
        <v>780</v>
      </c>
      <c r="G36" s="83">
        <v>900000</v>
      </c>
      <c r="H36" s="83">
        <v>900000</v>
      </c>
      <c r="I36" s="81" t="s">
        <v>33</v>
      </c>
      <c r="J36" s="81">
        <v>6</v>
      </c>
      <c r="K36" s="81">
        <v>1.99</v>
      </c>
      <c r="L36" s="81" t="s">
        <v>34</v>
      </c>
      <c r="M36" s="81" t="s">
        <v>34</v>
      </c>
      <c r="N36" s="81" t="s">
        <v>35</v>
      </c>
      <c r="O36" s="81" t="s">
        <v>36</v>
      </c>
      <c r="P36" s="81" t="s">
        <v>37</v>
      </c>
      <c r="Q36" s="81" t="s">
        <v>294</v>
      </c>
      <c r="R36" s="81" t="s">
        <v>39</v>
      </c>
      <c r="S36" s="81">
        <v>1.329</v>
      </c>
      <c r="T36" s="81">
        <v>10167.85</v>
      </c>
      <c r="U36" s="81">
        <v>10112.93</v>
      </c>
      <c r="V36" s="81" t="s">
        <v>196</v>
      </c>
      <c r="W36" s="81">
        <v>3030000</v>
      </c>
      <c r="X36" s="81">
        <v>1.6779999999999999</v>
      </c>
      <c r="Y36" s="81">
        <v>1.6859999999999999</v>
      </c>
      <c r="Z36" s="81" t="s">
        <v>304</v>
      </c>
    </row>
    <row r="37" spans="1:26" ht="16.5">
      <c r="A37" s="81" t="s">
        <v>347</v>
      </c>
      <c r="B37" s="82">
        <v>43152</v>
      </c>
      <c r="C37" s="81" t="s">
        <v>5</v>
      </c>
      <c r="D37" s="82">
        <v>44248</v>
      </c>
      <c r="E37" s="81" t="s">
        <v>13</v>
      </c>
      <c r="F37" s="81" t="s">
        <v>781</v>
      </c>
      <c r="G37" s="83">
        <v>280000</v>
      </c>
      <c r="H37" s="83">
        <v>280000</v>
      </c>
      <c r="I37" s="81" t="s">
        <v>33</v>
      </c>
      <c r="J37" s="81">
        <v>6</v>
      </c>
      <c r="K37" s="81">
        <v>2.5299999999999998</v>
      </c>
      <c r="L37" s="81" t="s">
        <v>34</v>
      </c>
      <c r="M37" s="81" t="s">
        <v>34</v>
      </c>
      <c r="N37" s="81" t="s">
        <v>35</v>
      </c>
      <c r="O37" s="81" t="s">
        <v>36</v>
      </c>
      <c r="P37" s="81" t="s">
        <v>37</v>
      </c>
      <c r="Q37" s="81" t="s">
        <v>294</v>
      </c>
      <c r="R37" s="81" t="s">
        <v>39</v>
      </c>
      <c r="S37" s="81">
        <v>1.319</v>
      </c>
      <c r="T37" s="81">
        <v>10182.17</v>
      </c>
      <c r="U37" s="81">
        <v>10177.41</v>
      </c>
      <c r="V37" s="81" t="s">
        <v>196</v>
      </c>
      <c r="W37" s="81">
        <v>3030000</v>
      </c>
      <c r="X37" s="81">
        <v>1.4503999999999999</v>
      </c>
      <c r="Y37" s="81">
        <v>1.4636</v>
      </c>
      <c r="Z37" s="81" t="s">
        <v>348</v>
      </c>
    </row>
    <row r="38" spans="1:26" ht="16.5">
      <c r="A38" s="81" t="s">
        <v>293</v>
      </c>
      <c r="B38" s="82">
        <v>42753</v>
      </c>
      <c r="C38" s="81" t="s">
        <v>5</v>
      </c>
      <c r="D38" s="82">
        <v>44214</v>
      </c>
      <c r="E38" s="81" t="s">
        <v>40</v>
      </c>
      <c r="F38" s="81" t="s">
        <v>782</v>
      </c>
      <c r="G38" s="83">
        <v>440000</v>
      </c>
      <c r="H38" s="83">
        <v>440000</v>
      </c>
      <c r="I38" s="81" t="s">
        <v>33</v>
      </c>
      <c r="J38" s="81">
        <v>6</v>
      </c>
      <c r="K38" s="81">
        <v>1.88</v>
      </c>
      <c r="L38" s="81" t="s">
        <v>34</v>
      </c>
      <c r="M38" s="81" t="s">
        <v>34</v>
      </c>
      <c r="N38" s="81" t="s">
        <v>35</v>
      </c>
      <c r="O38" s="81" t="s">
        <v>36</v>
      </c>
      <c r="P38" s="81" t="s">
        <v>37</v>
      </c>
      <c r="Q38" s="81" t="s">
        <v>294</v>
      </c>
      <c r="R38" s="81" t="s">
        <v>39</v>
      </c>
      <c r="S38" s="81">
        <v>1.3140000000000001</v>
      </c>
      <c r="T38" s="81">
        <v>10098.74</v>
      </c>
      <c r="U38" s="81">
        <v>10078.209999999999</v>
      </c>
      <c r="V38" s="81" t="s">
        <v>196</v>
      </c>
      <c r="W38" s="81">
        <v>3030000</v>
      </c>
      <c r="X38" s="81">
        <v>1.3636999999999999</v>
      </c>
      <c r="Y38" s="81">
        <v>1.3751</v>
      </c>
      <c r="Z38" s="81" t="s">
        <v>295</v>
      </c>
    </row>
    <row r="39" spans="1:26" ht="16.5">
      <c r="A39" s="81" t="s">
        <v>326</v>
      </c>
      <c r="B39" s="82">
        <v>43026</v>
      </c>
      <c r="C39" s="81" t="s">
        <v>5</v>
      </c>
      <c r="D39" s="82">
        <v>44122</v>
      </c>
      <c r="E39" s="81" t="s">
        <v>13</v>
      </c>
      <c r="F39" s="81" t="s">
        <v>783</v>
      </c>
      <c r="G39" s="83">
        <v>290000</v>
      </c>
      <c r="H39" s="83">
        <v>290000</v>
      </c>
      <c r="I39" s="81" t="s">
        <v>33</v>
      </c>
      <c r="J39" s="81">
        <v>6</v>
      </c>
      <c r="K39" s="81">
        <v>2.11</v>
      </c>
      <c r="L39" s="81" t="s">
        <v>34</v>
      </c>
      <c r="M39" s="81" t="s">
        <v>34</v>
      </c>
      <c r="N39" s="81" t="s">
        <v>35</v>
      </c>
      <c r="O39" s="81" t="s">
        <v>36</v>
      </c>
      <c r="P39" s="81" t="s">
        <v>37</v>
      </c>
      <c r="Q39" s="81" t="s">
        <v>294</v>
      </c>
      <c r="R39" s="81" t="s">
        <v>39</v>
      </c>
      <c r="S39" s="81">
        <v>1.304</v>
      </c>
      <c r="T39" s="81">
        <v>10167.200000000001</v>
      </c>
      <c r="U39" s="81">
        <v>10091.32</v>
      </c>
      <c r="V39" s="81" t="s">
        <v>196</v>
      </c>
      <c r="W39" s="81">
        <v>3030000</v>
      </c>
      <c r="X39" s="81">
        <v>1.1145</v>
      </c>
      <c r="Y39" s="81">
        <v>1.1214</v>
      </c>
      <c r="Z39" s="81" t="s">
        <v>327</v>
      </c>
    </row>
    <row r="40" spans="1:26" ht="16.5">
      <c r="A40" s="81" t="s">
        <v>258</v>
      </c>
      <c r="B40" s="82">
        <v>42123</v>
      </c>
      <c r="C40" s="81" t="s">
        <v>5</v>
      </c>
      <c r="D40" s="82">
        <v>43950</v>
      </c>
      <c r="E40" s="81" t="s">
        <v>5</v>
      </c>
      <c r="F40" s="81" t="s">
        <v>784</v>
      </c>
      <c r="G40" s="83">
        <v>1000000</v>
      </c>
      <c r="H40" s="83">
        <v>1000000</v>
      </c>
      <c r="I40" s="81" t="s">
        <v>33</v>
      </c>
      <c r="J40" s="81">
        <v>6</v>
      </c>
      <c r="K40" s="81">
        <v>2.12</v>
      </c>
      <c r="L40" s="81" t="s">
        <v>34</v>
      </c>
      <c r="M40" s="81" t="s">
        <v>34</v>
      </c>
      <c r="N40" s="81" t="s">
        <v>35</v>
      </c>
      <c r="O40" s="81" t="s">
        <v>36</v>
      </c>
      <c r="P40" s="81" t="s">
        <v>37</v>
      </c>
      <c r="Q40" s="81" t="s">
        <v>38</v>
      </c>
      <c r="R40" s="81" t="s">
        <v>39</v>
      </c>
      <c r="S40" s="81">
        <v>1.3009999999999999</v>
      </c>
      <c r="T40" s="81">
        <v>10124.73</v>
      </c>
      <c r="U40" s="81">
        <v>10055.07</v>
      </c>
      <c r="V40" s="81" t="s">
        <v>196</v>
      </c>
      <c r="W40" s="81">
        <v>3030000</v>
      </c>
      <c r="X40" s="81">
        <v>0.65790000000000004</v>
      </c>
      <c r="Y40" s="81">
        <v>0.66139999999999999</v>
      </c>
      <c r="Z40" s="81" t="s">
        <v>259</v>
      </c>
    </row>
    <row r="41" spans="1:26" ht="16.5">
      <c r="A41" s="81" t="s">
        <v>260</v>
      </c>
      <c r="B41" s="82">
        <v>42081</v>
      </c>
      <c r="C41" s="81" t="s">
        <v>5</v>
      </c>
      <c r="D41" s="82">
        <v>43908</v>
      </c>
      <c r="E41" s="81" t="s">
        <v>5</v>
      </c>
      <c r="F41" s="81" t="s">
        <v>785</v>
      </c>
      <c r="G41" s="83">
        <v>1210000</v>
      </c>
      <c r="H41" s="83">
        <v>1210000</v>
      </c>
      <c r="I41" s="81" t="s">
        <v>33</v>
      </c>
      <c r="J41" s="81">
        <v>6</v>
      </c>
      <c r="K41" s="81">
        <v>2.09</v>
      </c>
      <c r="L41" s="81" t="s">
        <v>34</v>
      </c>
      <c r="M41" s="81" t="s">
        <v>34</v>
      </c>
      <c r="N41" s="81" t="s">
        <v>35</v>
      </c>
      <c r="O41" s="81" t="s">
        <v>36</v>
      </c>
      <c r="P41" s="81" t="s">
        <v>37</v>
      </c>
      <c r="Q41" s="81" t="s">
        <v>38</v>
      </c>
      <c r="R41" s="81" t="s">
        <v>39</v>
      </c>
      <c r="S41" s="81">
        <v>1.3109999999999999</v>
      </c>
      <c r="T41" s="81">
        <v>10135.950000000001</v>
      </c>
      <c r="U41" s="81">
        <v>10043.66</v>
      </c>
      <c r="V41" s="81" t="s">
        <v>196</v>
      </c>
      <c r="W41" s="81">
        <v>3030000</v>
      </c>
      <c r="X41" s="81">
        <v>0.54590000000000005</v>
      </c>
      <c r="Y41" s="81">
        <v>0.54669999999999996</v>
      </c>
      <c r="Z41" s="81" t="s">
        <v>261</v>
      </c>
    </row>
    <row r="42" spans="1:26" ht="16.5">
      <c r="A42" s="81" t="s">
        <v>262</v>
      </c>
      <c r="B42" s="82">
        <v>42039</v>
      </c>
      <c r="C42" s="81" t="s">
        <v>5</v>
      </c>
      <c r="D42" s="82">
        <v>43865</v>
      </c>
      <c r="E42" s="81" t="s">
        <v>6</v>
      </c>
      <c r="F42" s="81" t="s">
        <v>659</v>
      </c>
      <c r="G42" s="83">
        <v>920000</v>
      </c>
      <c r="H42" s="83">
        <v>920000</v>
      </c>
      <c r="I42" s="81" t="s">
        <v>33</v>
      </c>
      <c r="J42" s="81">
        <v>6</v>
      </c>
      <c r="K42" s="81">
        <v>2.16</v>
      </c>
      <c r="L42" s="81" t="s">
        <v>34</v>
      </c>
      <c r="M42" s="81" t="s">
        <v>34</v>
      </c>
      <c r="N42" s="81" t="s">
        <v>35</v>
      </c>
      <c r="O42" s="81" t="s">
        <v>36</v>
      </c>
      <c r="P42" s="81" t="s">
        <v>37</v>
      </c>
      <c r="Q42" s="81" t="s">
        <v>38</v>
      </c>
      <c r="R42" s="81" t="s">
        <v>39</v>
      </c>
      <c r="S42" s="81">
        <v>1.325</v>
      </c>
      <c r="T42" s="81">
        <v>10050.42</v>
      </c>
      <c r="U42" s="81">
        <v>10036.39</v>
      </c>
      <c r="V42" s="81" t="s">
        <v>196</v>
      </c>
      <c r="W42" s="81">
        <v>3030000</v>
      </c>
      <c r="X42" s="81">
        <v>0.42959999999999998</v>
      </c>
      <c r="Y42" s="81">
        <v>0.43440000000000001</v>
      </c>
      <c r="Z42" s="81" t="s">
        <v>263</v>
      </c>
    </row>
    <row r="43" spans="1:26" ht="16.5">
      <c r="A43" s="81" t="s">
        <v>290</v>
      </c>
      <c r="B43" s="82">
        <v>42712</v>
      </c>
      <c r="C43" s="81" t="s">
        <v>4</v>
      </c>
      <c r="D43" s="82">
        <v>43807</v>
      </c>
      <c r="E43" s="81" t="s">
        <v>13</v>
      </c>
      <c r="F43" s="81" t="s">
        <v>786</v>
      </c>
      <c r="G43" s="83">
        <v>600000</v>
      </c>
      <c r="H43" s="83">
        <v>600000</v>
      </c>
      <c r="I43" s="81" t="s">
        <v>33</v>
      </c>
      <c r="J43" s="81">
        <v>6</v>
      </c>
      <c r="K43" s="81">
        <v>1.9</v>
      </c>
      <c r="L43" s="81" t="s">
        <v>34</v>
      </c>
      <c r="M43" s="81" t="s">
        <v>34</v>
      </c>
      <c r="N43" s="81" t="s">
        <v>35</v>
      </c>
      <c r="O43" s="81" t="s">
        <v>36</v>
      </c>
      <c r="P43" s="81" t="s">
        <v>37</v>
      </c>
      <c r="Q43" s="81" t="s">
        <v>38</v>
      </c>
      <c r="R43" s="81" t="s">
        <v>39</v>
      </c>
      <c r="S43" s="81">
        <v>1.345</v>
      </c>
      <c r="T43" s="81">
        <v>10057.65</v>
      </c>
      <c r="U43" s="81">
        <v>10015.33</v>
      </c>
      <c r="V43" s="81" t="s">
        <v>196</v>
      </c>
      <c r="W43" s="81">
        <v>3030000</v>
      </c>
      <c r="X43" s="81">
        <v>0.27489999999999998</v>
      </c>
      <c r="Y43" s="81">
        <v>0.27589999999999998</v>
      </c>
      <c r="Z43" s="81" t="s">
        <v>291</v>
      </c>
    </row>
    <row r="44" spans="1:26" ht="16.5">
      <c r="A44" s="81" t="s">
        <v>34</v>
      </c>
      <c r="B44" s="81" t="s">
        <v>34</v>
      </c>
      <c r="D44" s="81" t="s">
        <v>34</v>
      </c>
      <c r="F44" s="81" t="s">
        <v>34</v>
      </c>
      <c r="G44" s="81" t="s">
        <v>34</v>
      </c>
      <c r="H44" s="81" t="s">
        <v>34</v>
      </c>
      <c r="I44" s="81" t="s">
        <v>34</v>
      </c>
      <c r="J44" s="81" t="s">
        <v>34</v>
      </c>
      <c r="K44" s="81">
        <v>1.63</v>
      </c>
      <c r="L44" s="81" t="s">
        <v>34</v>
      </c>
      <c r="M44" s="81" t="s">
        <v>34</v>
      </c>
      <c r="N44" s="81" t="s">
        <v>35</v>
      </c>
      <c r="O44" s="81" t="s">
        <v>34</v>
      </c>
      <c r="P44" s="81" t="s">
        <v>271</v>
      </c>
      <c r="Q44" s="81" t="s">
        <v>34</v>
      </c>
      <c r="R44" s="81" t="s">
        <v>34</v>
      </c>
      <c r="S44" s="81" t="s">
        <v>34</v>
      </c>
      <c r="T44" s="81" t="s">
        <v>34</v>
      </c>
      <c r="V44" s="81" t="s">
        <v>34</v>
      </c>
      <c r="W44" s="81" t="s">
        <v>34</v>
      </c>
      <c r="X44" s="81" t="s">
        <v>34</v>
      </c>
      <c r="Y44" s="81" t="s">
        <v>34</v>
      </c>
      <c r="Z44" s="81" t="s">
        <v>34</v>
      </c>
    </row>
    <row r="45" spans="1:26" ht="16.5">
      <c r="A45" s="81" t="s">
        <v>34</v>
      </c>
      <c r="B45" s="81" t="s">
        <v>34</v>
      </c>
      <c r="D45" s="81" t="s">
        <v>34</v>
      </c>
      <c r="F45" s="81" t="s">
        <v>34</v>
      </c>
      <c r="G45" s="81" t="s">
        <v>34</v>
      </c>
      <c r="H45" s="81" t="s">
        <v>34</v>
      </c>
      <c r="I45" s="81" t="s">
        <v>34</v>
      </c>
      <c r="J45" s="81" t="s">
        <v>34</v>
      </c>
      <c r="K45" s="81">
        <v>1.76</v>
      </c>
      <c r="L45" s="81" t="s">
        <v>34</v>
      </c>
      <c r="M45" s="81" t="s">
        <v>34</v>
      </c>
      <c r="N45" s="81" t="s">
        <v>35</v>
      </c>
      <c r="O45" s="81" t="s">
        <v>34</v>
      </c>
      <c r="P45" s="81" t="s">
        <v>271</v>
      </c>
      <c r="Q45" s="81" t="s">
        <v>34</v>
      </c>
      <c r="R45" s="81" t="s">
        <v>34</v>
      </c>
      <c r="S45" s="81" t="s">
        <v>34</v>
      </c>
      <c r="T45" s="81" t="s">
        <v>34</v>
      </c>
      <c r="V45" s="81" t="s">
        <v>34</v>
      </c>
      <c r="W45" s="81" t="s">
        <v>34</v>
      </c>
      <c r="X45" s="81" t="s">
        <v>34</v>
      </c>
      <c r="Y45" s="81" t="s">
        <v>34</v>
      </c>
      <c r="Z45" s="81" t="s">
        <v>34</v>
      </c>
    </row>
    <row r="46" spans="1:26" ht="16.5">
      <c r="A46" s="81" t="s">
        <v>34</v>
      </c>
      <c r="B46" s="81" t="s">
        <v>34</v>
      </c>
      <c r="D46" s="81" t="s">
        <v>34</v>
      </c>
      <c r="F46" s="81" t="s">
        <v>34</v>
      </c>
      <c r="G46" s="81" t="s">
        <v>34</v>
      </c>
      <c r="H46" s="81" t="s">
        <v>34</v>
      </c>
      <c r="I46" s="81" t="s">
        <v>34</v>
      </c>
      <c r="J46" s="81" t="s">
        <v>34</v>
      </c>
      <c r="K46" s="81">
        <v>1.79</v>
      </c>
      <c r="L46" s="81" t="s">
        <v>34</v>
      </c>
      <c r="M46" s="81" t="s">
        <v>34</v>
      </c>
      <c r="N46" s="81" t="s">
        <v>35</v>
      </c>
      <c r="O46" s="81" t="s">
        <v>34</v>
      </c>
      <c r="P46" s="81" t="s">
        <v>271</v>
      </c>
      <c r="Q46" s="81" t="s">
        <v>34</v>
      </c>
      <c r="R46" s="81" t="s">
        <v>34</v>
      </c>
      <c r="S46" s="81" t="s">
        <v>34</v>
      </c>
      <c r="T46" s="81" t="s">
        <v>34</v>
      </c>
      <c r="V46" s="81" t="s">
        <v>34</v>
      </c>
      <c r="W46" s="81" t="s">
        <v>34</v>
      </c>
      <c r="X46" s="81" t="s">
        <v>34</v>
      </c>
      <c r="Y46" s="81" t="s">
        <v>34</v>
      </c>
      <c r="Z46" s="81" t="s">
        <v>34</v>
      </c>
    </row>
    <row r="47" spans="1:26" ht="16.5">
      <c r="A47" s="81" t="s">
        <v>34</v>
      </c>
      <c r="B47" s="81" t="s">
        <v>34</v>
      </c>
      <c r="D47" s="81" t="s">
        <v>34</v>
      </c>
      <c r="F47" s="81" t="s">
        <v>34</v>
      </c>
      <c r="G47" s="81" t="s">
        <v>34</v>
      </c>
      <c r="H47" s="81" t="s">
        <v>34</v>
      </c>
      <c r="I47" s="81" t="s">
        <v>34</v>
      </c>
      <c r="J47" s="81" t="s">
        <v>34</v>
      </c>
      <c r="K47" s="81">
        <v>1.86</v>
      </c>
      <c r="L47" s="81" t="s">
        <v>34</v>
      </c>
      <c r="M47" s="81" t="s">
        <v>34</v>
      </c>
      <c r="N47" s="81" t="s">
        <v>35</v>
      </c>
      <c r="O47" s="81" t="s">
        <v>34</v>
      </c>
      <c r="P47" s="81" t="s">
        <v>271</v>
      </c>
      <c r="Q47" s="81" t="s">
        <v>34</v>
      </c>
      <c r="R47" s="81" t="s">
        <v>34</v>
      </c>
      <c r="S47" s="81" t="s">
        <v>34</v>
      </c>
      <c r="T47" s="81" t="s">
        <v>34</v>
      </c>
      <c r="V47" s="81" t="s">
        <v>34</v>
      </c>
      <c r="W47" s="81" t="s">
        <v>34</v>
      </c>
      <c r="X47" s="81" t="s">
        <v>34</v>
      </c>
      <c r="Y47" s="81" t="s">
        <v>34</v>
      </c>
      <c r="Z47" s="81" t="s">
        <v>34</v>
      </c>
    </row>
    <row r="48" spans="1:26" ht="16.5">
      <c r="A48" s="81" t="s">
        <v>34</v>
      </c>
      <c r="B48" s="81" t="s">
        <v>34</v>
      </c>
      <c r="D48" s="81" t="s">
        <v>34</v>
      </c>
      <c r="F48" s="81" t="s">
        <v>34</v>
      </c>
      <c r="G48" s="81" t="s">
        <v>34</v>
      </c>
      <c r="H48" s="81" t="s">
        <v>34</v>
      </c>
      <c r="I48" s="81" t="s">
        <v>34</v>
      </c>
      <c r="J48" s="81" t="s">
        <v>34</v>
      </c>
      <c r="K48" s="81">
        <v>2.99</v>
      </c>
      <c r="L48" s="81" t="s">
        <v>34</v>
      </c>
      <c r="M48" s="81" t="s">
        <v>34</v>
      </c>
      <c r="N48" s="81" t="s">
        <v>35</v>
      </c>
      <c r="O48" s="81" t="s">
        <v>34</v>
      </c>
      <c r="P48" s="81" t="s">
        <v>271</v>
      </c>
      <c r="Q48" s="81" t="s">
        <v>34</v>
      </c>
      <c r="R48" s="81" t="s">
        <v>34</v>
      </c>
      <c r="S48" s="81" t="s">
        <v>34</v>
      </c>
      <c r="T48" s="81" t="s">
        <v>34</v>
      </c>
      <c r="V48" s="81" t="s">
        <v>34</v>
      </c>
      <c r="W48" s="81" t="s">
        <v>34</v>
      </c>
      <c r="X48" s="81" t="s">
        <v>34</v>
      </c>
      <c r="Y48" s="81" t="s">
        <v>34</v>
      </c>
      <c r="Z48" s="81" t="s">
        <v>34</v>
      </c>
    </row>
    <row r="49" spans="1:26" ht="16.5">
      <c r="A49" s="81" t="s">
        <v>34</v>
      </c>
      <c r="B49" s="81" t="s">
        <v>34</v>
      </c>
      <c r="D49" s="81" t="s">
        <v>34</v>
      </c>
      <c r="F49" s="81" t="s">
        <v>34</v>
      </c>
      <c r="G49" s="81" t="s">
        <v>34</v>
      </c>
      <c r="H49" s="81" t="s">
        <v>34</v>
      </c>
      <c r="I49" s="81" t="s">
        <v>34</v>
      </c>
      <c r="J49" s="81" t="s">
        <v>34</v>
      </c>
      <c r="K49" s="81">
        <v>3.02</v>
      </c>
      <c r="L49" s="81" t="s">
        <v>34</v>
      </c>
      <c r="M49" s="81" t="s">
        <v>34</v>
      </c>
      <c r="N49" s="81" t="s">
        <v>35</v>
      </c>
      <c r="O49" s="81" t="s">
        <v>34</v>
      </c>
      <c r="P49" s="81" t="s">
        <v>271</v>
      </c>
      <c r="Q49" s="81" t="s">
        <v>34</v>
      </c>
      <c r="R49" s="81" t="s">
        <v>34</v>
      </c>
      <c r="S49" s="81" t="s">
        <v>34</v>
      </c>
      <c r="T49" s="81" t="s">
        <v>34</v>
      </c>
      <c r="V49" s="81" t="s">
        <v>34</v>
      </c>
      <c r="W49" s="81" t="s">
        <v>34</v>
      </c>
      <c r="X49" s="81" t="s">
        <v>34</v>
      </c>
      <c r="Y49" s="81" t="s">
        <v>34</v>
      </c>
      <c r="Z49" s="81" t="s">
        <v>34</v>
      </c>
    </row>
    <row r="50" spans="1:26" ht="16.5">
      <c r="A50" s="81" t="s">
        <v>34</v>
      </c>
      <c r="B50" s="81" t="s">
        <v>34</v>
      </c>
      <c r="D50" s="81" t="s">
        <v>34</v>
      </c>
      <c r="F50" s="81" t="s">
        <v>34</v>
      </c>
      <c r="G50" s="81" t="s">
        <v>34</v>
      </c>
      <c r="H50" s="81" t="s">
        <v>34</v>
      </c>
      <c r="I50" s="81" t="s">
        <v>34</v>
      </c>
      <c r="J50" s="81" t="s">
        <v>34</v>
      </c>
      <c r="K50" s="81">
        <v>3.12</v>
      </c>
      <c r="L50" s="81" t="s">
        <v>34</v>
      </c>
      <c r="M50" s="81" t="s">
        <v>34</v>
      </c>
      <c r="N50" s="81" t="s">
        <v>35</v>
      </c>
      <c r="O50" s="81" t="s">
        <v>34</v>
      </c>
      <c r="P50" s="81" t="s">
        <v>271</v>
      </c>
      <c r="Q50" s="81" t="s">
        <v>34</v>
      </c>
      <c r="R50" s="81" t="s">
        <v>34</v>
      </c>
      <c r="S50" s="81" t="s">
        <v>34</v>
      </c>
      <c r="T50" s="81" t="s">
        <v>34</v>
      </c>
      <c r="V50" s="81" t="s">
        <v>34</v>
      </c>
      <c r="W50" s="81" t="s">
        <v>34</v>
      </c>
      <c r="X50" s="81" t="s">
        <v>34</v>
      </c>
      <c r="Y50" s="81" t="s">
        <v>34</v>
      </c>
      <c r="Z50" s="81" t="s">
        <v>34</v>
      </c>
    </row>
    <row r="51" spans="1:26" ht="16.5">
      <c r="A51" s="81" t="s">
        <v>34</v>
      </c>
      <c r="B51" s="81" t="s">
        <v>34</v>
      </c>
      <c r="D51" s="81" t="s">
        <v>34</v>
      </c>
      <c r="F51" s="81" t="s">
        <v>34</v>
      </c>
      <c r="G51" s="81" t="s">
        <v>34</v>
      </c>
      <c r="H51" s="81" t="s">
        <v>34</v>
      </c>
      <c r="I51" s="81" t="s">
        <v>34</v>
      </c>
      <c r="J51" s="81" t="s">
        <v>34</v>
      </c>
      <c r="K51" s="81">
        <v>3.74</v>
      </c>
      <c r="L51" s="81" t="s">
        <v>34</v>
      </c>
      <c r="M51" s="81" t="s">
        <v>34</v>
      </c>
      <c r="N51" s="81" t="s">
        <v>35</v>
      </c>
      <c r="O51" s="81" t="s">
        <v>34</v>
      </c>
      <c r="P51" s="81" t="s">
        <v>271</v>
      </c>
      <c r="Q51" s="81" t="s">
        <v>34</v>
      </c>
      <c r="R51" s="81" t="s">
        <v>34</v>
      </c>
      <c r="S51" s="81" t="s">
        <v>34</v>
      </c>
      <c r="T51" s="81" t="s">
        <v>34</v>
      </c>
      <c r="V51" s="81" t="s">
        <v>34</v>
      </c>
      <c r="W51" s="81" t="s">
        <v>34</v>
      </c>
      <c r="X51" s="81" t="s">
        <v>34</v>
      </c>
      <c r="Y51" s="81" t="s">
        <v>34</v>
      </c>
      <c r="Z51" s="81" t="s">
        <v>34</v>
      </c>
    </row>
    <row r="52" spans="1:26" ht="16.5">
      <c r="A52" s="81" t="s">
        <v>34</v>
      </c>
      <c r="B52" s="81" t="s">
        <v>34</v>
      </c>
      <c r="D52" s="81" t="s">
        <v>34</v>
      </c>
      <c r="F52" s="81" t="s">
        <v>34</v>
      </c>
      <c r="G52" s="81" t="s">
        <v>34</v>
      </c>
      <c r="H52" s="81" t="s">
        <v>34</v>
      </c>
      <c r="I52" s="81" t="s">
        <v>34</v>
      </c>
      <c r="J52" s="81" t="s">
        <v>34</v>
      </c>
      <c r="K52" s="81">
        <v>3.87</v>
      </c>
      <c r="L52" s="81" t="s">
        <v>34</v>
      </c>
      <c r="M52" s="81" t="s">
        <v>34</v>
      </c>
      <c r="N52" s="81" t="s">
        <v>35</v>
      </c>
      <c r="O52" s="81" t="s">
        <v>34</v>
      </c>
      <c r="P52" s="81" t="s">
        <v>271</v>
      </c>
      <c r="Q52" s="81" t="s">
        <v>34</v>
      </c>
      <c r="R52" s="81" t="s">
        <v>34</v>
      </c>
      <c r="S52" s="81" t="s">
        <v>34</v>
      </c>
      <c r="T52" s="81" t="s">
        <v>34</v>
      </c>
      <c r="V52" s="81" t="s">
        <v>34</v>
      </c>
      <c r="W52" s="81" t="s">
        <v>34</v>
      </c>
      <c r="X52" s="81" t="s">
        <v>34</v>
      </c>
      <c r="Y52" s="81" t="s">
        <v>34</v>
      </c>
      <c r="Z52" s="81" t="s">
        <v>34</v>
      </c>
    </row>
    <row r="53" spans="1:26" ht="16.5">
      <c r="A53" s="81" t="s">
        <v>34</v>
      </c>
      <c r="B53" s="81" t="s">
        <v>34</v>
      </c>
      <c r="D53" s="81" t="s">
        <v>34</v>
      </c>
      <c r="F53" s="81" t="s">
        <v>34</v>
      </c>
      <c r="G53" s="81" t="s">
        <v>34</v>
      </c>
      <c r="H53" s="81" t="s">
        <v>34</v>
      </c>
      <c r="I53" s="81" t="s">
        <v>34</v>
      </c>
      <c r="J53" s="81" t="s">
        <v>34</v>
      </c>
      <c r="K53" s="81">
        <v>3.09</v>
      </c>
      <c r="L53" s="81" t="s">
        <v>34</v>
      </c>
      <c r="M53" s="81" t="s">
        <v>34</v>
      </c>
      <c r="N53" s="81" t="s">
        <v>35</v>
      </c>
      <c r="O53" s="81" t="s">
        <v>34</v>
      </c>
      <c r="P53" s="81" t="s">
        <v>271</v>
      </c>
      <c r="Q53" s="81" t="s">
        <v>34</v>
      </c>
      <c r="R53" s="81" t="s">
        <v>34</v>
      </c>
      <c r="S53" s="81" t="s">
        <v>34</v>
      </c>
      <c r="T53" s="81" t="s">
        <v>34</v>
      </c>
      <c r="V53" s="81" t="s">
        <v>34</v>
      </c>
      <c r="W53" s="81" t="s">
        <v>34</v>
      </c>
      <c r="X53" s="81" t="s">
        <v>34</v>
      </c>
      <c r="Y53" s="81" t="s">
        <v>34</v>
      </c>
      <c r="Z53" s="81" t="s">
        <v>34</v>
      </c>
    </row>
    <row r="54" spans="1:26" ht="16.5">
      <c r="A54" s="81" t="s">
        <v>34</v>
      </c>
      <c r="B54" s="81" t="s">
        <v>34</v>
      </c>
      <c r="D54" s="81" t="s">
        <v>34</v>
      </c>
      <c r="F54" s="81" t="s">
        <v>34</v>
      </c>
      <c r="G54" s="81" t="s">
        <v>34</v>
      </c>
      <c r="H54" s="81" t="s">
        <v>34</v>
      </c>
      <c r="I54" s="81" t="s">
        <v>34</v>
      </c>
      <c r="J54" s="81" t="s">
        <v>34</v>
      </c>
      <c r="K54" s="81">
        <v>3.98</v>
      </c>
      <c r="L54" s="81" t="s">
        <v>34</v>
      </c>
      <c r="M54" s="81" t="s">
        <v>34</v>
      </c>
      <c r="N54" s="81" t="s">
        <v>35</v>
      </c>
      <c r="O54" s="81" t="s">
        <v>34</v>
      </c>
      <c r="P54" s="81" t="s">
        <v>271</v>
      </c>
      <c r="Q54" s="81" t="s">
        <v>34</v>
      </c>
      <c r="R54" s="81" t="s">
        <v>34</v>
      </c>
      <c r="S54" s="81" t="s">
        <v>34</v>
      </c>
      <c r="T54" s="81" t="s">
        <v>34</v>
      </c>
      <c r="V54" s="81" t="s">
        <v>34</v>
      </c>
      <c r="W54" s="81" t="s">
        <v>34</v>
      </c>
      <c r="X54" s="81" t="s">
        <v>34</v>
      </c>
      <c r="Y54" s="81" t="s">
        <v>34</v>
      </c>
      <c r="Z54" s="81" t="s">
        <v>34</v>
      </c>
    </row>
    <row r="55" spans="1:26" ht="16.5">
      <c r="A55" s="81" t="s">
        <v>328</v>
      </c>
      <c r="B55" s="82">
        <v>43040</v>
      </c>
      <c r="C55" s="81" t="s">
        <v>5</v>
      </c>
      <c r="D55" s="82">
        <v>44136</v>
      </c>
      <c r="E55" s="81" t="s">
        <v>13</v>
      </c>
      <c r="F55" s="81" t="s">
        <v>770</v>
      </c>
      <c r="G55" s="83">
        <v>1520000</v>
      </c>
      <c r="H55" s="83">
        <v>1520000</v>
      </c>
      <c r="I55" s="81" t="s">
        <v>33</v>
      </c>
      <c r="J55" s="81">
        <v>6</v>
      </c>
      <c r="K55" s="81">
        <v>2.39</v>
      </c>
      <c r="L55" s="81" t="s">
        <v>34</v>
      </c>
      <c r="M55" s="81" t="s">
        <v>34</v>
      </c>
      <c r="N55" s="81" t="s">
        <v>35</v>
      </c>
      <c r="O55" s="81" t="s">
        <v>41</v>
      </c>
      <c r="P55" s="81" t="s">
        <v>37</v>
      </c>
      <c r="Q55" s="81" t="s">
        <v>38</v>
      </c>
      <c r="R55" s="81" t="s">
        <v>39</v>
      </c>
      <c r="S55" s="81">
        <v>1.2709999999999999</v>
      </c>
      <c r="T55" s="81">
        <v>10207.77</v>
      </c>
      <c r="U55" s="81">
        <v>10130.780000000001</v>
      </c>
      <c r="V55" s="81" t="s">
        <v>196</v>
      </c>
      <c r="W55" s="81">
        <v>3030000</v>
      </c>
      <c r="X55" s="81">
        <v>1.1498999999999999</v>
      </c>
      <c r="Y55" s="81">
        <v>1.1577999999999999</v>
      </c>
      <c r="Z55" s="81" t="s">
        <v>329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Z55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26">
      <c r="A1" s="81" t="s">
        <v>0</v>
      </c>
      <c r="B1" s="81" t="s">
        <v>12</v>
      </c>
      <c r="C1" s="81" t="s">
        <v>13</v>
      </c>
      <c r="D1" s="81" t="s">
        <v>279</v>
      </c>
      <c r="E1" s="81" t="s">
        <v>13</v>
      </c>
      <c r="F1" s="81" t="s">
        <v>14</v>
      </c>
      <c r="G1" s="81" t="s">
        <v>15</v>
      </c>
      <c r="H1" s="81" t="s">
        <v>16</v>
      </c>
      <c r="I1" s="81" t="s">
        <v>17</v>
      </c>
      <c r="J1" s="81" t="s">
        <v>18</v>
      </c>
      <c r="K1" s="81" t="s">
        <v>19</v>
      </c>
      <c r="L1" s="81" t="s">
        <v>20</v>
      </c>
      <c r="M1" s="81" t="s">
        <v>21</v>
      </c>
      <c r="N1" s="81" t="s">
        <v>22</v>
      </c>
      <c r="O1" s="81" t="s">
        <v>23</v>
      </c>
      <c r="P1" s="81" t="s">
        <v>24</v>
      </c>
      <c r="Q1" s="81" t="s">
        <v>25</v>
      </c>
      <c r="R1" s="81" t="s">
        <v>26</v>
      </c>
      <c r="S1" s="81" t="s">
        <v>200</v>
      </c>
      <c r="T1" s="81" t="s">
        <v>27</v>
      </c>
      <c r="U1" s="81" t="s">
        <v>28</v>
      </c>
      <c r="V1" s="81" t="s">
        <v>29</v>
      </c>
      <c r="W1" s="81" t="s">
        <v>201</v>
      </c>
      <c r="X1" s="81" t="s">
        <v>30</v>
      </c>
      <c r="Y1" s="81" t="s">
        <v>31</v>
      </c>
      <c r="Z1" s="81" t="s">
        <v>32</v>
      </c>
    </row>
    <row r="2" spans="1:26">
      <c r="A2" s="81" t="s">
        <v>561</v>
      </c>
      <c r="B2" s="82">
        <v>43708</v>
      </c>
      <c r="C2" s="81" t="s">
        <v>11</v>
      </c>
      <c r="D2" s="82">
        <v>45535</v>
      </c>
      <c r="E2" s="81" t="s">
        <v>11</v>
      </c>
      <c r="F2" s="81" t="s">
        <v>665</v>
      </c>
      <c r="G2" s="83">
        <v>944909</v>
      </c>
      <c r="H2" s="83">
        <v>944909</v>
      </c>
      <c r="I2" s="81" t="s">
        <v>7</v>
      </c>
      <c r="J2" s="81">
        <v>12</v>
      </c>
      <c r="K2" s="81">
        <v>1</v>
      </c>
      <c r="L2" s="81" t="s">
        <v>34</v>
      </c>
      <c r="M2" s="81" t="s">
        <v>34</v>
      </c>
      <c r="N2" s="81" t="s">
        <v>35</v>
      </c>
      <c r="O2" s="81" t="s">
        <v>36</v>
      </c>
      <c r="P2" s="81" t="s">
        <v>37</v>
      </c>
      <c r="Q2" s="81" t="s">
        <v>38</v>
      </c>
      <c r="R2" s="81" t="s">
        <v>39</v>
      </c>
      <c r="S2" s="81">
        <v>1.2769999999999999</v>
      </c>
      <c r="T2" s="81">
        <v>9862.69</v>
      </c>
      <c r="U2" s="81">
        <v>9863.83</v>
      </c>
      <c r="V2" s="81" t="s">
        <v>252</v>
      </c>
      <c r="W2" s="81">
        <v>1020000</v>
      </c>
      <c r="X2" s="81">
        <v>4.9485000000000001</v>
      </c>
      <c r="Y2" s="81">
        <v>5.0082000000000004</v>
      </c>
      <c r="Z2" s="81" t="s">
        <v>562</v>
      </c>
    </row>
    <row r="3" spans="1:26">
      <c r="A3" s="81" t="s">
        <v>551</v>
      </c>
      <c r="B3" s="82">
        <v>43708</v>
      </c>
      <c r="C3" s="81" t="s">
        <v>11</v>
      </c>
      <c r="D3" s="82">
        <v>45535</v>
      </c>
      <c r="E3" s="81" t="s">
        <v>11</v>
      </c>
      <c r="F3" s="81" t="s">
        <v>665</v>
      </c>
      <c r="G3" s="83">
        <v>493819</v>
      </c>
      <c r="H3" s="83">
        <v>493819</v>
      </c>
      <c r="I3" s="81" t="s">
        <v>7</v>
      </c>
      <c r="J3" s="81">
        <v>12</v>
      </c>
      <c r="K3" s="81">
        <v>1.25</v>
      </c>
      <c r="L3" s="81" t="s">
        <v>34</v>
      </c>
      <c r="M3" s="81" t="s">
        <v>34</v>
      </c>
      <c r="N3" s="81" t="s">
        <v>35</v>
      </c>
      <c r="O3" s="81" t="s">
        <v>36</v>
      </c>
      <c r="P3" s="81" t="s">
        <v>37</v>
      </c>
      <c r="Q3" s="81" t="s">
        <v>38</v>
      </c>
      <c r="R3" s="81" t="s">
        <v>39</v>
      </c>
      <c r="S3" s="81">
        <v>1.2769999999999999</v>
      </c>
      <c r="T3" s="81">
        <v>9984.68</v>
      </c>
      <c r="U3" s="81">
        <v>9985.84</v>
      </c>
      <c r="V3" s="81" t="s">
        <v>252</v>
      </c>
      <c r="W3" s="81">
        <v>1020000</v>
      </c>
      <c r="X3" s="81">
        <v>4.9485000000000001</v>
      </c>
      <c r="Y3" s="81">
        <v>5.0082000000000004</v>
      </c>
      <c r="Z3" s="81" t="s">
        <v>552</v>
      </c>
    </row>
    <row r="4" spans="1:26">
      <c r="A4" s="81" t="s">
        <v>546</v>
      </c>
      <c r="B4" s="82">
        <v>43677</v>
      </c>
      <c r="C4" s="81" t="s">
        <v>5</v>
      </c>
      <c r="D4" s="82">
        <v>45504</v>
      </c>
      <c r="E4" s="81" t="s">
        <v>5</v>
      </c>
      <c r="F4" s="81" t="s">
        <v>666</v>
      </c>
      <c r="G4" s="83">
        <v>430893</v>
      </c>
      <c r="H4" s="83">
        <v>430893</v>
      </c>
      <c r="I4" s="81" t="s">
        <v>7</v>
      </c>
      <c r="J4" s="81">
        <v>12</v>
      </c>
      <c r="K4" s="81">
        <v>1.25</v>
      </c>
      <c r="L4" s="81" t="s">
        <v>34</v>
      </c>
      <c r="M4" s="81" t="s">
        <v>34</v>
      </c>
      <c r="N4" s="81" t="s">
        <v>35</v>
      </c>
      <c r="O4" s="81" t="s">
        <v>36</v>
      </c>
      <c r="P4" s="81" t="s">
        <v>37</v>
      </c>
      <c r="Q4" s="81" t="s">
        <v>38</v>
      </c>
      <c r="R4" s="81" t="s">
        <v>39</v>
      </c>
      <c r="S4" s="81">
        <v>1.278</v>
      </c>
      <c r="T4" s="81">
        <v>9995.06</v>
      </c>
      <c r="U4" s="81">
        <v>9987.02</v>
      </c>
      <c r="V4" s="81" t="s">
        <v>252</v>
      </c>
      <c r="W4" s="81">
        <v>1020000</v>
      </c>
      <c r="X4" s="81">
        <v>4.8654000000000002</v>
      </c>
      <c r="Y4" s="81">
        <v>4.9234</v>
      </c>
      <c r="Z4" s="81" t="s">
        <v>547</v>
      </c>
    </row>
    <row r="5" spans="1:26">
      <c r="A5" s="81" t="s">
        <v>521</v>
      </c>
      <c r="B5" s="82">
        <v>43677</v>
      </c>
      <c r="C5" s="81" t="s">
        <v>5</v>
      </c>
      <c r="D5" s="82">
        <v>45504</v>
      </c>
      <c r="E5" s="81" t="s">
        <v>5</v>
      </c>
      <c r="F5" s="81" t="s">
        <v>666</v>
      </c>
      <c r="G5" s="83">
        <v>1037399</v>
      </c>
      <c r="H5" s="83">
        <v>1037399</v>
      </c>
      <c r="I5" s="81" t="s">
        <v>7</v>
      </c>
      <c r="J5" s="81">
        <v>12</v>
      </c>
      <c r="K5" s="81">
        <v>1.5</v>
      </c>
      <c r="L5" s="81" t="s">
        <v>34</v>
      </c>
      <c r="M5" s="81" t="s">
        <v>34</v>
      </c>
      <c r="N5" s="81" t="s">
        <v>35</v>
      </c>
      <c r="O5" s="81" t="s">
        <v>36</v>
      </c>
      <c r="P5" s="81" t="s">
        <v>37</v>
      </c>
      <c r="Q5" s="81" t="s">
        <v>38</v>
      </c>
      <c r="R5" s="81" t="s">
        <v>39</v>
      </c>
      <c r="S5" s="81">
        <v>1.278</v>
      </c>
      <c r="T5" s="81">
        <v>10119.049999999999</v>
      </c>
      <c r="U5" s="81">
        <v>10109.14</v>
      </c>
      <c r="V5" s="81" t="s">
        <v>252</v>
      </c>
      <c r="W5" s="81">
        <v>1020000</v>
      </c>
      <c r="X5" s="81">
        <v>4.8654000000000002</v>
      </c>
      <c r="Y5" s="81">
        <v>4.9234</v>
      </c>
      <c r="Z5" s="81" t="s">
        <v>522</v>
      </c>
    </row>
    <row r="6" spans="1:26">
      <c r="A6" s="81" t="s">
        <v>501</v>
      </c>
      <c r="B6" s="82">
        <v>43646</v>
      </c>
      <c r="C6" s="81" t="s">
        <v>13</v>
      </c>
      <c r="D6" s="82">
        <v>45473</v>
      </c>
      <c r="E6" s="81" t="s">
        <v>13</v>
      </c>
      <c r="F6" s="81" t="s">
        <v>667</v>
      </c>
      <c r="G6" s="83">
        <v>1063638</v>
      </c>
      <c r="H6" s="83">
        <v>1063052</v>
      </c>
      <c r="I6" s="81" t="s">
        <v>7</v>
      </c>
      <c r="J6" s="81">
        <v>12</v>
      </c>
      <c r="K6" s="81">
        <v>1.5</v>
      </c>
      <c r="L6" s="81" t="s">
        <v>34</v>
      </c>
      <c r="M6" s="81" t="s">
        <v>34</v>
      </c>
      <c r="N6" s="81" t="s">
        <v>35</v>
      </c>
      <c r="O6" s="81" t="s">
        <v>36</v>
      </c>
      <c r="P6" s="81" t="s">
        <v>37</v>
      </c>
      <c r="Q6" s="81" t="s">
        <v>38</v>
      </c>
      <c r="R6" s="81" t="s">
        <v>39</v>
      </c>
      <c r="S6" s="81">
        <v>1.2749999999999999</v>
      </c>
      <c r="T6" s="81">
        <v>10131.02</v>
      </c>
      <c r="U6" s="81">
        <v>10108.290000000001</v>
      </c>
      <c r="V6" s="81" t="s">
        <v>252</v>
      </c>
      <c r="W6" s="81">
        <v>1020000</v>
      </c>
      <c r="X6" s="81">
        <v>4.7826000000000004</v>
      </c>
      <c r="Y6" s="81">
        <v>4.8387000000000002</v>
      </c>
      <c r="Z6" s="81" t="s">
        <v>502</v>
      </c>
    </row>
    <row r="7" spans="1:26">
      <c r="A7" s="81" t="s">
        <v>493</v>
      </c>
      <c r="B7" s="82">
        <v>43646</v>
      </c>
      <c r="C7" s="81" t="s">
        <v>13</v>
      </c>
      <c r="D7" s="82">
        <v>45473</v>
      </c>
      <c r="E7" s="81" t="s">
        <v>13</v>
      </c>
      <c r="F7" s="81" t="s">
        <v>667</v>
      </c>
      <c r="G7" s="83">
        <v>79026</v>
      </c>
      <c r="H7" s="83">
        <v>78735</v>
      </c>
      <c r="I7" s="81" t="s">
        <v>7</v>
      </c>
      <c r="J7" s="81">
        <v>12</v>
      </c>
      <c r="K7" s="81">
        <v>1.75</v>
      </c>
      <c r="L7" s="81" t="s">
        <v>34</v>
      </c>
      <c r="M7" s="81" t="s">
        <v>34</v>
      </c>
      <c r="N7" s="81" t="s">
        <v>35</v>
      </c>
      <c r="O7" s="81" t="s">
        <v>36</v>
      </c>
      <c r="P7" s="81" t="s">
        <v>37</v>
      </c>
      <c r="Q7" s="81" t="s">
        <v>38</v>
      </c>
      <c r="R7" s="81" t="s">
        <v>39</v>
      </c>
      <c r="S7" s="81">
        <v>1.2749999999999999</v>
      </c>
      <c r="T7" s="81">
        <v>10257.049999999999</v>
      </c>
      <c r="U7" s="81">
        <v>10230.36</v>
      </c>
      <c r="V7" s="81" t="s">
        <v>252</v>
      </c>
      <c r="W7" s="81">
        <v>1020000</v>
      </c>
      <c r="X7" s="81">
        <v>4.7826000000000004</v>
      </c>
      <c r="Y7" s="81">
        <v>4.8387000000000002</v>
      </c>
      <c r="Z7" s="81" t="s">
        <v>494</v>
      </c>
    </row>
    <row r="8" spans="1:26">
      <c r="A8" s="81" t="s">
        <v>483</v>
      </c>
      <c r="B8" s="82">
        <v>43616</v>
      </c>
      <c r="C8" s="81" t="s">
        <v>10</v>
      </c>
      <c r="D8" s="82">
        <v>45443</v>
      </c>
      <c r="E8" s="81" t="s">
        <v>10</v>
      </c>
      <c r="F8" s="81" t="s">
        <v>668</v>
      </c>
      <c r="G8" s="83">
        <v>1323766</v>
      </c>
      <c r="H8" s="83">
        <v>1322205</v>
      </c>
      <c r="I8" s="81" t="s">
        <v>7</v>
      </c>
      <c r="J8" s="81">
        <v>12</v>
      </c>
      <c r="K8" s="81">
        <v>1.75</v>
      </c>
      <c r="L8" s="81" t="s">
        <v>34</v>
      </c>
      <c r="M8" s="81" t="s">
        <v>34</v>
      </c>
      <c r="N8" s="81" t="s">
        <v>35</v>
      </c>
      <c r="O8" s="81" t="s">
        <v>36</v>
      </c>
      <c r="P8" s="81" t="s">
        <v>37</v>
      </c>
      <c r="Q8" s="81" t="s">
        <v>38</v>
      </c>
      <c r="R8" s="81" t="s">
        <v>39</v>
      </c>
      <c r="S8" s="81">
        <v>1.274</v>
      </c>
      <c r="T8" s="81">
        <v>10268.15</v>
      </c>
      <c r="U8" s="81">
        <v>10226.69</v>
      </c>
      <c r="V8" s="81" t="s">
        <v>252</v>
      </c>
      <c r="W8" s="81">
        <v>1020000</v>
      </c>
      <c r="X8" s="81">
        <v>4.7022000000000004</v>
      </c>
      <c r="Y8" s="81">
        <v>4.7568000000000001</v>
      </c>
      <c r="Z8" s="81" t="s">
        <v>484</v>
      </c>
    </row>
    <row r="9" spans="1:26">
      <c r="A9" s="81" t="s">
        <v>553</v>
      </c>
      <c r="B9" s="82">
        <v>43708</v>
      </c>
      <c r="C9" s="81" t="s">
        <v>11</v>
      </c>
      <c r="D9" s="82">
        <v>45535</v>
      </c>
      <c r="E9" s="81" t="s">
        <v>11</v>
      </c>
      <c r="F9" s="81" t="s">
        <v>665</v>
      </c>
      <c r="G9" s="83">
        <v>24326</v>
      </c>
      <c r="H9" s="83">
        <v>24326</v>
      </c>
      <c r="I9" s="81" t="s">
        <v>7</v>
      </c>
      <c r="J9" s="81">
        <v>12</v>
      </c>
      <c r="K9" s="81">
        <v>1.25</v>
      </c>
      <c r="L9" s="81" t="s">
        <v>34</v>
      </c>
      <c r="M9" s="81" t="s">
        <v>34</v>
      </c>
      <c r="N9" s="81" t="s">
        <v>35</v>
      </c>
      <c r="O9" s="81" t="s">
        <v>36</v>
      </c>
      <c r="P9" s="81" t="s">
        <v>37</v>
      </c>
      <c r="Q9" s="81" t="s">
        <v>38</v>
      </c>
      <c r="R9" s="81" t="s">
        <v>39</v>
      </c>
      <c r="S9" s="81">
        <v>1.327</v>
      </c>
      <c r="T9" s="81">
        <v>9960.4599999999991</v>
      </c>
      <c r="U9" s="81">
        <v>9961.19</v>
      </c>
      <c r="V9" s="81" t="s">
        <v>253</v>
      </c>
      <c r="W9" s="81">
        <v>2045000</v>
      </c>
      <c r="X9" s="81">
        <v>4.9461000000000004</v>
      </c>
      <c r="Y9" s="81">
        <v>5.0082000000000004</v>
      </c>
      <c r="Z9" s="81" t="s">
        <v>554</v>
      </c>
    </row>
    <row r="10" spans="1:26">
      <c r="A10" s="81" t="s">
        <v>523</v>
      </c>
      <c r="B10" s="82">
        <v>43677</v>
      </c>
      <c r="C10" s="81" t="s">
        <v>5</v>
      </c>
      <c r="D10" s="82">
        <v>45504</v>
      </c>
      <c r="E10" s="81" t="s">
        <v>5</v>
      </c>
      <c r="F10" s="81" t="s">
        <v>666</v>
      </c>
      <c r="G10" s="83">
        <v>29005</v>
      </c>
      <c r="H10" s="83">
        <v>29005</v>
      </c>
      <c r="I10" s="81" t="s">
        <v>7</v>
      </c>
      <c r="J10" s="81">
        <v>12</v>
      </c>
      <c r="K10" s="81">
        <v>1.25</v>
      </c>
      <c r="L10" s="81" t="s">
        <v>34</v>
      </c>
      <c r="M10" s="81" t="s">
        <v>34</v>
      </c>
      <c r="N10" s="81" t="s">
        <v>35</v>
      </c>
      <c r="O10" s="81" t="s">
        <v>36</v>
      </c>
      <c r="P10" s="81" t="s">
        <v>37</v>
      </c>
      <c r="Q10" s="81" t="s">
        <v>38</v>
      </c>
      <c r="R10" s="81" t="s">
        <v>39</v>
      </c>
      <c r="S10" s="81">
        <v>1.3260000000000001</v>
      </c>
      <c r="T10" s="81">
        <v>9972.02</v>
      </c>
      <c r="U10" s="81">
        <v>9962.75</v>
      </c>
      <c r="V10" s="81" t="s">
        <v>253</v>
      </c>
      <c r="W10" s="81">
        <v>2045000</v>
      </c>
      <c r="X10" s="81">
        <v>4.8631000000000002</v>
      </c>
      <c r="Y10" s="81">
        <v>4.9234</v>
      </c>
      <c r="Z10" s="81" t="s">
        <v>524</v>
      </c>
    </row>
    <row r="11" spans="1:26">
      <c r="A11" s="81" t="s">
        <v>495</v>
      </c>
      <c r="B11" s="82">
        <v>43646</v>
      </c>
      <c r="C11" s="81" t="s">
        <v>13</v>
      </c>
      <c r="D11" s="82">
        <v>45473</v>
      </c>
      <c r="E11" s="81" t="s">
        <v>13</v>
      </c>
      <c r="F11" s="81" t="s">
        <v>667</v>
      </c>
      <c r="G11" s="83">
        <v>24093</v>
      </c>
      <c r="H11" s="83">
        <v>24093</v>
      </c>
      <c r="I11" s="81" t="s">
        <v>7</v>
      </c>
      <c r="J11" s="81">
        <v>12</v>
      </c>
      <c r="K11" s="81">
        <v>1.25</v>
      </c>
      <c r="L11" s="81" t="s">
        <v>34</v>
      </c>
      <c r="M11" s="81" t="s">
        <v>34</v>
      </c>
      <c r="N11" s="81" t="s">
        <v>35</v>
      </c>
      <c r="O11" s="81" t="s">
        <v>36</v>
      </c>
      <c r="P11" s="81" t="s">
        <v>37</v>
      </c>
      <c r="Q11" s="81" t="s">
        <v>38</v>
      </c>
      <c r="R11" s="81" t="s">
        <v>39</v>
      </c>
      <c r="S11" s="81">
        <v>1.3240000000000001</v>
      </c>
      <c r="T11" s="81">
        <v>9983.73</v>
      </c>
      <c r="U11" s="81">
        <v>9964.23</v>
      </c>
      <c r="V11" s="81" t="s">
        <v>253</v>
      </c>
      <c r="W11" s="81">
        <v>2045000</v>
      </c>
      <c r="X11" s="81">
        <v>4.7803000000000004</v>
      </c>
      <c r="Y11" s="81">
        <v>4.8387000000000002</v>
      </c>
      <c r="Z11" s="81" t="s">
        <v>496</v>
      </c>
    </row>
    <row r="12" spans="1:26">
      <c r="A12" s="81" t="s">
        <v>379</v>
      </c>
      <c r="B12" s="82">
        <v>43322</v>
      </c>
      <c r="C12" s="81" t="s">
        <v>10</v>
      </c>
      <c r="D12" s="82">
        <v>44418</v>
      </c>
      <c r="E12" s="81" t="s">
        <v>6</v>
      </c>
      <c r="F12" s="81" t="s">
        <v>669</v>
      </c>
      <c r="G12" s="83">
        <v>800000</v>
      </c>
      <c r="H12" s="83">
        <v>800000</v>
      </c>
      <c r="I12" s="81" t="s">
        <v>33</v>
      </c>
      <c r="J12" s="81">
        <v>6</v>
      </c>
      <c r="K12" s="81">
        <v>2.15</v>
      </c>
      <c r="L12" s="81" t="s">
        <v>34</v>
      </c>
      <c r="M12" s="81" t="s">
        <v>34</v>
      </c>
      <c r="N12" s="81" t="s">
        <v>35</v>
      </c>
      <c r="O12" s="81" t="s">
        <v>41</v>
      </c>
      <c r="P12" s="81" t="s">
        <v>37</v>
      </c>
      <c r="Q12" s="81" t="s">
        <v>38</v>
      </c>
      <c r="R12" s="81" t="s">
        <v>39</v>
      </c>
      <c r="S12" s="81">
        <v>1.2989999999999999</v>
      </c>
      <c r="T12" s="81">
        <v>10173.89</v>
      </c>
      <c r="U12" s="81">
        <v>10164.74</v>
      </c>
      <c r="V12" s="81" t="s">
        <v>196</v>
      </c>
      <c r="W12" s="81">
        <v>3030000</v>
      </c>
      <c r="X12" s="81">
        <v>1.9077999999999999</v>
      </c>
      <c r="Y12" s="81">
        <v>1.9193</v>
      </c>
      <c r="Z12" s="81" t="s">
        <v>380</v>
      </c>
    </row>
    <row r="13" spans="1:26">
      <c r="A13" s="81" t="s">
        <v>337</v>
      </c>
      <c r="B13" s="82">
        <v>43131</v>
      </c>
      <c r="C13" s="81" t="s">
        <v>5</v>
      </c>
      <c r="D13" s="82">
        <v>44227</v>
      </c>
      <c r="E13" s="81" t="s">
        <v>13</v>
      </c>
      <c r="F13" s="81" t="s">
        <v>670</v>
      </c>
      <c r="G13" s="83">
        <v>680000</v>
      </c>
      <c r="H13" s="83">
        <v>680000</v>
      </c>
      <c r="I13" s="81" t="s">
        <v>33</v>
      </c>
      <c r="J13" s="81">
        <v>6</v>
      </c>
      <c r="K13" s="81">
        <v>2.52</v>
      </c>
      <c r="L13" s="81" t="s">
        <v>34</v>
      </c>
      <c r="M13" s="81" t="s">
        <v>34</v>
      </c>
      <c r="N13" s="81" t="s">
        <v>35</v>
      </c>
      <c r="O13" s="81" t="s">
        <v>41</v>
      </c>
      <c r="P13" s="81" t="s">
        <v>37</v>
      </c>
      <c r="Q13" s="81" t="s">
        <v>38</v>
      </c>
      <c r="R13" s="81" t="s">
        <v>39</v>
      </c>
      <c r="S13" s="81">
        <v>1.2789999999999999</v>
      </c>
      <c r="T13" s="81">
        <v>10193.6</v>
      </c>
      <c r="U13" s="81">
        <v>10175.049999999999</v>
      </c>
      <c r="V13" s="81" t="s">
        <v>196</v>
      </c>
      <c r="W13" s="81">
        <v>3030000</v>
      </c>
      <c r="X13" s="81">
        <v>1.397</v>
      </c>
      <c r="Y13" s="81">
        <v>1.4089</v>
      </c>
      <c r="Z13" s="81" t="s">
        <v>338</v>
      </c>
    </row>
    <row r="14" spans="1:26">
      <c r="A14" s="81" t="s">
        <v>328</v>
      </c>
      <c r="B14" s="82">
        <v>43040</v>
      </c>
      <c r="C14" s="81" t="s">
        <v>5</v>
      </c>
      <c r="D14" s="82">
        <v>44136</v>
      </c>
      <c r="E14" s="81" t="s">
        <v>13</v>
      </c>
      <c r="F14" s="81" t="s">
        <v>671</v>
      </c>
      <c r="G14" s="83">
        <v>1520000</v>
      </c>
      <c r="H14" s="83">
        <v>1520000</v>
      </c>
      <c r="I14" s="81" t="s">
        <v>33</v>
      </c>
      <c r="J14" s="81">
        <v>6</v>
      </c>
      <c r="K14" s="81">
        <v>2.39</v>
      </c>
      <c r="L14" s="81" t="s">
        <v>34</v>
      </c>
      <c r="M14" s="81" t="s">
        <v>34</v>
      </c>
      <c r="N14" s="81" t="s">
        <v>35</v>
      </c>
      <c r="O14" s="81" t="s">
        <v>41</v>
      </c>
      <c r="P14" s="81" t="s">
        <v>37</v>
      </c>
      <c r="Q14" s="81" t="s">
        <v>38</v>
      </c>
      <c r="R14" s="81" t="s">
        <v>39</v>
      </c>
      <c r="S14" s="81">
        <v>1.2649999999999999</v>
      </c>
      <c r="T14" s="81">
        <v>10208.129999999999</v>
      </c>
      <c r="U14" s="81">
        <v>10131.67</v>
      </c>
      <c r="V14" s="81" t="s">
        <v>196</v>
      </c>
      <c r="W14" s="81">
        <v>3030000</v>
      </c>
      <c r="X14" s="81">
        <v>1.1526000000000001</v>
      </c>
      <c r="Y14" s="81">
        <v>1.1605000000000001</v>
      </c>
      <c r="Z14" s="81" t="s">
        <v>329</v>
      </c>
    </row>
    <row r="15" spans="1:26">
      <c r="A15" s="81" t="s">
        <v>254</v>
      </c>
      <c r="B15" s="82">
        <v>42333</v>
      </c>
      <c r="C15" s="81" t="s">
        <v>5</v>
      </c>
      <c r="D15" s="82">
        <v>44160</v>
      </c>
      <c r="E15" s="81" t="s">
        <v>5</v>
      </c>
      <c r="F15" s="81" t="s">
        <v>672</v>
      </c>
      <c r="G15" s="83">
        <v>880000</v>
      </c>
      <c r="H15" s="83">
        <v>880000</v>
      </c>
      <c r="I15" s="81" t="s">
        <v>33</v>
      </c>
      <c r="J15" s="81">
        <v>6</v>
      </c>
      <c r="K15" s="81">
        <v>2.12</v>
      </c>
      <c r="L15" s="81" t="s">
        <v>34</v>
      </c>
      <c r="M15" s="81" t="s">
        <v>34</v>
      </c>
      <c r="N15" s="81" t="s">
        <v>35</v>
      </c>
      <c r="O15" s="81" t="s">
        <v>41</v>
      </c>
      <c r="P15" s="81" t="s">
        <v>37</v>
      </c>
      <c r="Q15" s="81" t="s">
        <v>38</v>
      </c>
      <c r="R15" s="81" t="s">
        <v>39</v>
      </c>
      <c r="S15" s="81">
        <v>1.2689999999999999</v>
      </c>
      <c r="T15" s="81">
        <v>10159.030000000001</v>
      </c>
      <c r="U15" s="81">
        <v>10105.01</v>
      </c>
      <c r="V15" s="81" t="s">
        <v>196</v>
      </c>
      <c r="W15" s="81">
        <v>3030000</v>
      </c>
      <c r="X15" s="81">
        <v>1.2194</v>
      </c>
      <c r="Y15" s="81">
        <v>1.2282</v>
      </c>
      <c r="Z15" s="81" t="s">
        <v>255</v>
      </c>
    </row>
    <row r="16" spans="1:26">
      <c r="A16" s="81" t="s">
        <v>34</v>
      </c>
      <c r="B16" s="81" t="s">
        <v>34</v>
      </c>
      <c r="D16" s="81" t="s">
        <v>34</v>
      </c>
      <c r="F16" s="81" t="s">
        <v>34</v>
      </c>
      <c r="G16" s="81" t="s">
        <v>34</v>
      </c>
      <c r="H16" s="81" t="s">
        <v>34</v>
      </c>
      <c r="I16" s="81" t="s">
        <v>34</v>
      </c>
      <c r="J16" s="81" t="s">
        <v>34</v>
      </c>
      <c r="K16" s="81">
        <v>1.34</v>
      </c>
      <c r="L16" s="81" t="s">
        <v>34</v>
      </c>
      <c r="M16" s="81" t="s">
        <v>34</v>
      </c>
      <c r="N16" s="81" t="s">
        <v>35</v>
      </c>
      <c r="O16" s="81" t="s">
        <v>34</v>
      </c>
      <c r="P16" s="81" t="s">
        <v>271</v>
      </c>
      <c r="Q16" s="81" t="s">
        <v>34</v>
      </c>
      <c r="R16" s="81" t="s">
        <v>34</v>
      </c>
      <c r="S16" s="81" t="s">
        <v>34</v>
      </c>
      <c r="T16" s="81" t="s">
        <v>34</v>
      </c>
      <c r="V16" s="81" t="s">
        <v>34</v>
      </c>
      <c r="W16" s="81" t="s">
        <v>34</v>
      </c>
      <c r="X16" s="81" t="s">
        <v>34</v>
      </c>
      <c r="Y16" s="81" t="s">
        <v>34</v>
      </c>
      <c r="Z16" s="81" t="s">
        <v>34</v>
      </c>
    </row>
    <row r="17" spans="1:26">
      <c r="A17" s="81" t="s">
        <v>34</v>
      </c>
      <c r="B17" s="81" t="s">
        <v>34</v>
      </c>
      <c r="D17" s="81" t="s">
        <v>34</v>
      </c>
      <c r="F17" s="81" t="s">
        <v>34</v>
      </c>
      <c r="G17" s="81" t="s">
        <v>34</v>
      </c>
      <c r="H17" s="81" t="s">
        <v>34</v>
      </c>
      <c r="I17" s="81" t="s">
        <v>34</v>
      </c>
      <c r="J17" s="81" t="s">
        <v>34</v>
      </c>
      <c r="K17" s="81">
        <v>1.61</v>
      </c>
      <c r="L17" s="81" t="s">
        <v>34</v>
      </c>
      <c r="M17" s="81" t="s">
        <v>34</v>
      </c>
      <c r="N17" s="81" t="s">
        <v>35</v>
      </c>
      <c r="O17" s="81" t="s">
        <v>34</v>
      </c>
      <c r="P17" s="81" t="s">
        <v>271</v>
      </c>
      <c r="Q17" s="81" t="s">
        <v>34</v>
      </c>
      <c r="R17" s="81" t="s">
        <v>34</v>
      </c>
      <c r="S17" s="81" t="s">
        <v>34</v>
      </c>
      <c r="T17" s="81" t="s">
        <v>34</v>
      </c>
      <c r="V17" s="81" t="s">
        <v>34</v>
      </c>
      <c r="W17" s="81" t="s">
        <v>34</v>
      </c>
      <c r="X17" s="81" t="s">
        <v>34</v>
      </c>
      <c r="Y17" s="81" t="s">
        <v>34</v>
      </c>
      <c r="Z17" s="81" t="s">
        <v>34</v>
      </c>
    </row>
    <row r="18" spans="1:26">
      <c r="A18" s="81" t="s">
        <v>34</v>
      </c>
      <c r="B18" s="81" t="s">
        <v>34</v>
      </c>
      <c r="D18" s="81" t="s">
        <v>34</v>
      </c>
      <c r="F18" s="81" t="s">
        <v>34</v>
      </c>
      <c r="G18" s="81" t="s">
        <v>34</v>
      </c>
      <c r="H18" s="81" t="s">
        <v>34</v>
      </c>
      <c r="I18" s="81" t="s">
        <v>34</v>
      </c>
      <c r="J18" s="81" t="s">
        <v>34</v>
      </c>
      <c r="K18" s="81">
        <v>2.84</v>
      </c>
      <c r="L18" s="81" t="s">
        <v>34</v>
      </c>
      <c r="M18" s="81" t="s">
        <v>34</v>
      </c>
      <c r="N18" s="81" t="s">
        <v>35</v>
      </c>
      <c r="O18" s="81" t="s">
        <v>34</v>
      </c>
      <c r="P18" s="81" t="s">
        <v>271</v>
      </c>
      <c r="Q18" s="81" t="s">
        <v>34</v>
      </c>
      <c r="R18" s="81" t="s">
        <v>34</v>
      </c>
      <c r="S18" s="81" t="s">
        <v>34</v>
      </c>
      <c r="T18" s="81" t="s">
        <v>34</v>
      </c>
      <c r="V18" s="81" t="s">
        <v>34</v>
      </c>
      <c r="W18" s="81" t="s">
        <v>34</v>
      </c>
      <c r="X18" s="81" t="s">
        <v>34</v>
      </c>
      <c r="Y18" s="81" t="s">
        <v>34</v>
      </c>
      <c r="Z18" s="81" t="s">
        <v>34</v>
      </c>
    </row>
    <row r="19" spans="1:26">
      <c r="A19" s="81" t="s">
        <v>34</v>
      </c>
      <c r="B19" s="81" t="s">
        <v>34</v>
      </c>
      <c r="D19" s="81" t="s">
        <v>34</v>
      </c>
      <c r="F19" s="81" t="s">
        <v>34</v>
      </c>
      <c r="G19" s="81" t="s">
        <v>34</v>
      </c>
      <c r="H19" s="81" t="s">
        <v>34</v>
      </c>
      <c r="I19" s="81" t="s">
        <v>34</v>
      </c>
      <c r="J19" s="81" t="s">
        <v>34</v>
      </c>
      <c r="K19" s="81">
        <v>2.98</v>
      </c>
      <c r="L19" s="81" t="s">
        <v>34</v>
      </c>
      <c r="M19" s="81" t="s">
        <v>34</v>
      </c>
      <c r="N19" s="81" t="s">
        <v>35</v>
      </c>
      <c r="O19" s="81" t="s">
        <v>34</v>
      </c>
      <c r="P19" s="81" t="s">
        <v>271</v>
      </c>
      <c r="Q19" s="81" t="s">
        <v>34</v>
      </c>
      <c r="R19" s="81" t="s">
        <v>34</v>
      </c>
      <c r="S19" s="81" t="s">
        <v>34</v>
      </c>
      <c r="T19" s="81" t="s">
        <v>34</v>
      </c>
      <c r="V19" s="81" t="s">
        <v>34</v>
      </c>
      <c r="W19" s="81" t="s">
        <v>34</v>
      </c>
      <c r="X19" s="81" t="s">
        <v>34</v>
      </c>
      <c r="Y19" s="81" t="s">
        <v>34</v>
      </c>
      <c r="Z19" s="81" t="s">
        <v>34</v>
      </c>
    </row>
    <row r="20" spans="1:26">
      <c r="A20" s="81" t="s">
        <v>34</v>
      </c>
      <c r="B20" s="81" t="s">
        <v>34</v>
      </c>
      <c r="D20" s="81" t="s">
        <v>34</v>
      </c>
      <c r="F20" s="81" t="s">
        <v>34</v>
      </c>
      <c r="G20" s="81" t="s">
        <v>34</v>
      </c>
      <c r="H20" s="81" t="s">
        <v>34</v>
      </c>
      <c r="I20" s="81" t="s">
        <v>34</v>
      </c>
      <c r="J20" s="81" t="s">
        <v>34</v>
      </c>
      <c r="K20" s="81">
        <v>2.98</v>
      </c>
      <c r="L20" s="81" t="s">
        <v>34</v>
      </c>
      <c r="M20" s="81" t="s">
        <v>34</v>
      </c>
      <c r="N20" s="81" t="s">
        <v>35</v>
      </c>
      <c r="O20" s="81" t="s">
        <v>34</v>
      </c>
      <c r="P20" s="81" t="s">
        <v>271</v>
      </c>
      <c r="Q20" s="81" t="s">
        <v>34</v>
      </c>
      <c r="R20" s="81" t="s">
        <v>34</v>
      </c>
      <c r="S20" s="81" t="s">
        <v>34</v>
      </c>
      <c r="T20" s="81" t="s">
        <v>34</v>
      </c>
      <c r="V20" s="81" t="s">
        <v>34</v>
      </c>
      <c r="W20" s="81" t="s">
        <v>34</v>
      </c>
      <c r="X20" s="81" t="s">
        <v>34</v>
      </c>
      <c r="Y20" s="81" t="s">
        <v>34</v>
      </c>
      <c r="Z20" s="81" t="s">
        <v>34</v>
      </c>
    </row>
    <row r="21" spans="1:26">
      <c r="A21" s="81" t="s">
        <v>34</v>
      </c>
      <c r="B21" s="81" t="s">
        <v>34</v>
      </c>
      <c r="D21" s="81" t="s">
        <v>34</v>
      </c>
      <c r="F21" s="81" t="s">
        <v>34</v>
      </c>
      <c r="G21" s="81" t="s">
        <v>34</v>
      </c>
      <c r="H21" s="81" t="s">
        <v>34</v>
      </c>
      <c r="I21" s="81" t="s">
        <v>34</v>
      </c>
      <c r="J21" s="81" t="s">
        <v>34</v>
      </c>
      <c r="K21" s="81">
        <v>3.12</v>
      </c>
      <c r="L21" s="81" t="s">
        <v>34</v>
      </c>
      <c r="M21" s="81" t="s">
        <v>34</v>
      </c>
      <c r="N21" s="81" t="s">
        <v>35</v>
      </c>
      <c r="O21" s="81" t="s">
        <v>34</v>
      </c>
      <c r="P21" s="81" t="s">
        <v>271</v>
      </c>
      <c r="Q21" s="81" t="s">
        <v>34</v>
      </c>
      <c r="R21" s="81" t="s">
        <v>34</v>
      </c>
      <c r="S21" s="81" t="s">
        <v>34</v>
      </c>
      <c r="T21" s="81" t="s">
        <v>34</v>
      </c>
      <c r="V21" s="81" t="s">
        <v>34</v>
      </c>
      <c r="W21" s="81" t="s">
        <v>34</v>
      </c>
      <c r="X21" s="81" t="s">
        <v>34</v>
      </c>
      <c r="Y21" s="81" t="s">
        <v>34</v>
      </c>
      <c r="Z21" s="81" t="s">
        <v>34</v>
      </c>
    </row>
    <row r="22" spans="1:26">
      <c r="A22" s="81" t="s">
        <v>34</v>
      </c>
      <c r="B22" s="81" t="s">
        <v>34</v>
      </c>
      <c r="D22" s="81" t="s">
        <v>34</v>
      </c>
      <c r="F22" s="81" t="s">
        <v>34</v>
      </c>
      <c r="G22" s="81" t="s">
        <v>34</v>
      </c>
      <c r="H22" s="81" t="s">
        <v>34</v>
      </c>
      <c r="I22" s="81" t="s">
        <v>34</v>
      </c>
      <c r="J22" s="81" t="s">
        <v>34</v>
      </c>
      <c r="K22" s="81">
        <v>2.74</v>
      </c>
      <c r="L22" s="81" t="s">
        <v>34</v>
      </c>
      <c r="M22" s="81" t="s">
        <v>34</v>
      </c>
      <c r="N22" s="81" t="s">
        <v>35</v>
      </c>
      <c r="O22" s="81" t="s">
        <v>34</v>
      </c>
      <c r="P22" s="81" t="s">
        <v>271</v>
      </c>
      <c r="Q22" s="81" t="s">
        <v>34</v>
      </c>
      <c r="R22" s="81" t="s">
        <v>34</v>
      </c>
      <c r="S22" s="81" t="s">
        <v>34</v>
      </c>
      <c r="T22" s="81" t="s">
        <v>34</v>
      </c>
      <c r="V22" s="81" t="s">
        <v>34</v>
      </c>
      <c r="W22" s="81" t="s">
        <v>34</v>
      </c>
      <c r="X22" s="81" t="s">
        <v>34</v>
      </c>
      <c r="Y22" s="81" t="s">
        <v>34</v>
      </c>
      <c r="Z22" s="81" t="s">
        <v>34</v>
      </c>
    </row>
    <row r="23" spans="1:26">
      <c r="A23" s="81" t="s">
        <v>34</v>
      </c>
      <c r="B23" s="81" t="s">
        <v>34</v>
      </c>
      <c r="D23" s="81" t="s">
        <v>34</v>
      </c>
      <c r="F23" s="81" t="s">
        <v>34</v>
      </c>
      <c r="G23" s="81" t="s">
        <v>34</v>
      </c>
      <c r="H23" s="81" t="s">
        <v>34</v>
      </c>
      <c r="I23" s="81" t="s">
        <v>34</v>
      </c>
      <c r="J23" s="81" t="s">
        <v>34</v>
      </c>
      <c r="K23" s="81">
        <v>3.67</v>
      </c>
      <c r="L23" s="81" t="s">
        <v>34</v>
      </c>
      <c r="M23" s="81" t="s">
        <v>34</v>
      </c>
      <c r="N23" s="81" t="s">
        <v>35</v>
      </c>
      <c r="O23" s="81" t="s">
        <v>34</v>
      </c>
      <c r="P23" s="81" t="s">
        <v>271</v>
      </c>
      <c r="Q23" s="81" t="s">
        <v>34</v>
      </c>
      <c r="R23" s="81" t="s">
        <v>34</v>
      </c>
      <c r="S23" s="81" t="s">
        <v>34</v>
      </c>
      <c r="T23" s="81" t="s">
        <v>34</v>
      </c>
      <c r="V23" s="81" t="s">
        <v>34</v>
      </c>
      <c r="W23" s="81" t="s">
        <v>34</v>
      </c>
      <c r="X23" s="81" t="s">
        <v>34</v>
      </c>
      <c r="Y23" s="81" t="s">
        <v>34</v>
      </c>
      <c r="Z23" s="81" t="s">
        <v>34</v>
      </c>
    </row>
    <row r="24" spans="1:26">
      <c r="A24" s="81" t="s">
        <v>34</v>
      </c>
      <c r="B24" s="81" t="s">
        <v>34</v>
      </c>
      <c r="D24" s="81" t="s">
        <v>34</v>
      </c>
      <c r="F24" s="81" t="s">
        <v>34</v>
      </c>
      <c r="G24" s="81" t="s">
        <v>34</v>
      </c>
      <c r="H24" s="81" t="s">
        <v>34</v>
      </c>
      <c r="I24" s="81" t="s">
        <v>34</v>
      </c>
      <c r="J24" s="81" t="s">
        <v>34</v>
      </c>
      <c r="K24" s="81">
        <v>3.04</v>
      </c>
      <c r="L24" s="81" t="s">
        <v>34</v>
      </c>
      <c r="M24" s="81" t="s">
        <v>34</v>
      </c>
      <c r="N24" s="81" t="s">
        <v>35</v>
      </c>
      <c r="O24" s="81" t="s">
        <v>34</v>
      </c>
      <c r="P24" s="81" t="s">
        <v>271</v>
      </c>
      <c r="Q24" s="81" t="s">
        <v>34</v>
      </c>
      <c r="R24" s="81" t="s">
        <v>34</v>
      </c>
      <c r="S24" s="81" t="s">
        <v>34</v>
      </c>
      <c r="T24" s="81" t="s">
        <v>34</v>
      </c>
      <c r="V24" s="81" t="s">
        <v>34</v>
      </c>
      <c r="W24" s="81" t="s">
        <v>34</v>
      </c>
      <c r="X24" s="81" t="s">
        <v>34</v>
      </c>
      <c r="Y24" s="81" t="s">
        <v>34</v>
      </c>
      <c r="Z24" s="81" t="s">
        <v>34</v>
      </c>
    </row>
    <row r="25" spans="1:26">
      <c r="A25" s="81" t="s">
        <v>34</v>
      </c>
      <c r="B25" s="81" t="s">
        <v>34</v>
      </c>
      <c r="D25" s="81" t="s">
        <v>34</v>
      </c>
      <c r="F25" s="81" t="s">
        <v>34</v>
      </c>
      <c r="G25" s="81" t="s">
        <v>34</v>
      </c>
      <c r="H25" s="81" t="s">
        <v>34</v>
      </c>
      <c r="I25" s="81" t="s">
        <v>34</v>
      </c>
      <c r="J25" s="81" t="s">
        <v>34</v>
      </c>
      <c r="K25" s="81">
        <v>3.07</v>
      </c>
      <c r="L25" s="81" t="s">
        <v>34</v>
      </c>
      <c r="M25" s="81" t="s">
        <v>34</v>
      </c>
      <c r="N25" s="81" t="s">
        <v>35</v>
      </c>
      <c r="O25" s="81" t="s">
        <v>34</v>
      </c>
      <c r="P25" s="81" t="s">
        <v>271</v>
      </c>
      <c r="Q25" s="81" t="s">
        <v>34</v>
      </c>
      <c r="R25" s="81" t="s">
        <v>34</v>
      </c>
      <c r="S25" s="81" t="s">
        <v>34</v>
      </c>
      <c r="T25" s="81" t="s">
        <v>34</v>
      </c>
      <c r="V25" s="81" t="s">
        <v>34</v>
      </c>
      <c r="W25" s="81" t="s">
        <v>34</v>
      </c>
      <c r="X25" s="81" t="s">
        <v>34</v>
      </c>
      <c r="Y25" s="81" t="s">
        <v>34</v>
      </c>
      <c r="Z25" s="81" t="s">
        <v>34</v>
      </c>
    </row>
    <row r="26" spans="1:26">
      <c r="A26" s="81" t="s">
        <v>34</v>
      </c>
      <c r="B26" s="81" t="s">
        <v>34</v>
      </c>
      <c r="D26" s="81" t="s">
        <v>34</v>
      </c>
      <c r="F26" s="81" t="s">
        <v>34</v>
      </c>
      <c r="G26" s="81" t="s">
        <v>34</v>
      </c>
      <c r="H26" s="81" t="s">
        <v>34</v>
      </c>
      <c r="I26" s="81" t="s">
        <v>34</v>
      </c>
      <c r="J26" s="81" t="s">
        <v>34</v>
      </c>
      <c r="K26" s="81">
        <v>4.1399999999999997</v>
      </c>
      <c r="L26" s="81" t="s">
        <v>34</v>
      </c>
      <c r="M26" s="81" t="s">
        <v>34</v>
      </c>
      <c r="N26" s="81" t="s">
        <v>35</v>
      </c>
      <c r="O26" s="81" t="s">
        <v>34</v>
      </c>
      <c r="P26" s="81" t="s">
        <v>271</v>
      </c>
      <c r="Q26" s="81" t="s">
        <v>34</v>
      </c>
      <c r="R26" s="81" t="s">
        <v>34</v>
      </c>
      <c r="S26" s="81" t="s">
        <v>34</v>
      </c>
      <c r="T26" s="81" t="s">
        <v>34</v>
      </c>
      <c r="V26" s="81" t="s">
        <v>34</v>
      </c>
      <c r="W26" s="81" t="s">
        <v>34</v>
      </c>
      <c r="X26" s="81" t="s">
        <v>34</v>
      </c>
      <c r="Y26" s="81" t="s">
        <v>34</v>
      </c>
      <c r="Z26" s="81" t="s">
        <v>34</v>
      </c>
    </row>
    <row r="27" spans="1:26">
      <c r="A27" s="81" t="s">
        <v>34</v>
      </c>
      <c r="B27" s="81" t="s">
        <v>34</v>
      </c>
      <c r="D27" s="81" t="s">
        <v>34</v>
      </c>
      <c r="F27" s="81" t="s">
        <v>34</v>
      </c>
      <c r="G27" s="81" t="s">
        <v>34</v>
      </c>
      <c r="H27" s="81" t="s">
        <v>34</v>
      </c>
      <c r="I27" s="81" t="s">
        <v>34</v>
      </c>
      <c r="J27" s="81" t="s">
        <v>34</v>
      </c>
      <c r="K27" s="81">
        <v>3.88</v>
      </c>
      <c r="L27" s="81" t="s">
        <v>34</v>
      </c>
      <c r="M27" s="81" t="s">
        <v>34</v>
      </c>
      <c r="N27" s="81" t="s">
        <v>35</v>
      </c>
      <c r="O27" s="81" t="s">
        <v>34</v>
      </c>
      <c r="P27" s="81" t="s">
        <v>271</v>
      </c>
      <c r="Q27" s="81" t="s">
        <v>34</v>
      </c>
      <c r="R27" s="81" t="s">
        <v>34</v>
      </c>
      <c r="S27" s="81" t="s">
        <v>34</v>
      </c>
      <c r="T27" s="81" t="s">
        <v>34</v>
      </c>
      <c r="V27" s="81" t="s">
        <v>34</v>
      </c>
      <c r="W27" s="81" t="s">
        <v>34</v>
      </c>
      <c r="X27" s="81" t="s">
        <v>34</v>
      </c>
      <c r="Y27" s="81" t="s">
        <v>34</v>
      </c>
      <c r="Z27" s="81" t="s">
        <v>34</v>
      </c>
    </row>
    <row r="28" spans="1:26">
      <c r="A28" s="81" t="s">
        <v>511</v>
      </c>
      <c r="B28" s="82">
        <v>43542</v>
      </c>
      <c r="C28" s="81" t="s">
        <v>40</v>
      </c>
      <c r="D28" s="82">
        <v>45369</v>
      </c>
      <c r="E28" s="81" t="s">
        <v>40</v>
      </c>
      <c r="F28" s="81" t="s">
        <v>673</v>
      </c>
      <c r="G28" s="83">
        <v>360000</v>
      </c>
      <c r="H28" s="83">
        <v>360000</v>
      </c>
      <c r="I28" s="81" t="s">
        <v>33</v>
      </c>
      <c r="J28" s="81">
        <v>6</v>
      </c>
      <c r="K28" s="81">
        <v>1.97</v>
      </c>
      <c r="L28" s="81" t="s">
        <v>34</v>
      </c>
      <c r="M28" s="81" t="s">
        <v>34</v>
      </c>
      <c r="N28" s="81" t="s">
        <v>35</v>
      </c>
      <c r="O28" s="81" t="s">
        <v>36</v>
      </c>
      <c r="P28" s="81" t="s">
        <v>37</v>
      </c>
      <c r="Q28" s="81" t="s">
        <v>38</v>
      </c>
      <c r="R28" s="81" t="s">
        <v>39</v>
      </c>
      <c r="S28" s="81">
        <v>1.331</v>
      </c>
      <c r="T28" s="81">
        <v>10368.83</v>
      </c>
      <c r="U28" s="81">
        <v>10282.48</v>
      </c>
      <c r="V28" s="81" t="s">
        <v>196</v>
      </c>
      <c r="W28" s="81">
        <v>3030000</v>
      </c>
      <c r="X28" s="81">
        <v>4.3207000000000004</v>
      </c>
      <c r="Y28" s="81">
        <v>4.3448000000000002</v>
      </c>
      <c r="Z28" s="81" t="s">
        <v>512</v>
      </c>
    </row>
    <row r="29" spans="1:26">
      <c r="A29" s="81" t="s">
        <v>458</v>
      </c>
      <c r="B29" s="82">
        <v>43479</v>
      </c>
      <c r="C29" s="81" t="s">
        <v>40</v>
      </c>
      <c r="D29" s="82">
        <v>45305</v>
      </c>
      <c r="E29" s="81" t="s">
        <v>13</v>
      </c>
      <c r="F29" s="81" t="s">
        <v>674</v>
      </c>
      <c r="G29" s="83">
        <v>580000</v>
      </c>
      <c r="H29" s="83">
        <v>580000</v>
      </c>
      <c r="I29" s="81" t="s">
        <v>33</v>
      </c>
      <c r="J29" s="81">
        <v>6</v>
      </c>
      <c r="K29" s="81">
        <v>1.98</v>
      </c>
      <c r="L29" s="81" t="s">
        <v>34</v>
      </c>
      <c r="M29" s="81" t="s">
        <v>34</v>
      </c>
      <c r="N29" s="81" t="s">
        <v>35</v>
      </c>
      <c r="O29" s="81" t="s">
        <v>36</v>
      </c>
      <c r="P29" s="81" t="s">
        <v>37</v>
      </c>
      <c r="Q29" s="81" t="s">
        <v>38</v>
      </c>
      <c r="R29" s="81" t="s">
        <v>39</v>
      </c>
      <c r="S29" s="81">
        <v>1.331</v>
      </c>
      <c r="T29" s="81">
        <v>10299.06</v>
      </c>
      <c r="U29" s="81">
        <v>10275.43</v>
      </c>
      <c r="V29" s="81" t="s">
        <v>196</v>
      </c>
      <c r="W29" s="81">
        <v>3030000</v>
      </c>
      <c r="X29" s="81">
        <v>4.1826999999999996</v>
      </c>
      <c r="Y29" s="81">
        <v>4.2100999999999997</v>
      </c>
      <c r="Z29" s="81" t="s">
        <v>459</v>
      </c>
    </row>
    <row r="30" spans="1:26">
      <c r="A30" s="81" t="s">
        <v>344</v>
      </c>
      <c r="B30" s="82">
        <v>43145</v>
      </c>
      <c r="C30" s="81" t="s">
        <v>5</v>
      </c>
      <c r="D30" s="82">
        <v>44971</v>
      </c>
      <c r="E30" s="81" t="s">
        <v>6</v>
      </c>
      <c r="F30" s="81" t="s">
        <v>675</v>
      </c>
      <c r="G30" s="83">
        <v>320000</v>
      </c>
      <c r="H30" s="83">
        <v>320000</v>
      </c>
      <c r="I30" s="81" t="s">
        <v>33</v>
      </c>
      <c r="J30" s="81">
        <v>6</v>
      </c>
      <c r="K30" s="81">
        <v>2.78</v>
      </c>
      <c r="L30" s="81" t="s">
        <v>34</v>
      </c>
      <c r="M30" s="81" t="s">
        <v>34</v>
      </c>
      <c r="N30" s="81" t="s">
        <v>35</v>
      </c>
      <c r="O30" s="81" t="s">
        <v>36</v>
      </c>
      <c r="P30" s="81" t="s">
        <v>37</v>
      </c>
      <c r="Q30" s="81" t="s">
        <v>294</v>
      </c>
      <c r="R30" s="81" t="s">
        <v>39</v>
      </c>
      <c r="S30" s="81">
        <v>1.33</v>
      </c>
      <c r="T30" s="81">
        <v>10499.42</v>
      </c>
      <c r="U30" s="81">
        <v>10490.36</v>
      </c>
      <c r="V30" s="81" t="s">
        <v>196</v>
      </c>
      <c r="W30" s="81">
        <v>3030000</v>
      </c>
      <c r="X30" s="81">
        <v>3.3045</v>
      </c>
      <c r="Y30" s="81">
        <v>3.3289</v>
      </c>
      <c r="Z30" s="81" t="s">
        <v>345</v>
      </c>
    </row>
    <row r="31" spans="1:26">
      <c r="A31" s="81" t="s">
        <v>318</v>
      </c>
      <c r="B31" s="82">
        <v>42970</v>
      </c>
      <c r="C31" s="81" t="s">
        <v>5</v>
      </c>
      <c r="D31" s="82">
        <v>44796</v>
      </c>
      <c r="E31" s="81" t="s">
        <v>6</v>
      </c>
      <c r="F31" s="81" t="s">
        <v>676</v>
      </c>
      <c r="G31" s="83">
        <v>1200000</v>
      </c>
      <c r="H31" s="83">
        <v>1200000</v>
      </c>
      <c r="I31" s="81" t="s">
        <v>33</v>
      </c>
      <c r="J31" s="81">
        <v>6</v>
      </c>
      <c r="K31" s="81">
        <v>2.2000000000000002</v>
      </c>
      <c r="L31" s="81" t="s">
        <v>34</v>
      </c>
      <c r="M31" s="81" t="s">
        <v>34</v>
      </c>
      <c r="N31" s="81" t="s">
        <v>35</v>
      </c>
      <c r="O31" s="81" t="s">
        <v>36</v>
      </c>
      <c r="P31" s="81" t="s">
        <v>37</v>
      </c>
      <c r="Q31" s="81" t="s">
        <v>294</v>
      </c>
      <c r="R31" s="81" t="s">
        <v>39</v>
      </c>
      <c r="S31" s="81">
        <v>1.33</v>
      </c>
      <c r="T31" s="81">
        <v>10256.77</v>
      </c>
      <c r="U31" s="81">
        <v>10255.959999999999</v>
      </c>
      <c r="V31" s="81" t="s">
        <v>196</v>
      </c>
      <c r="W31" s="81">
        <v>3030000</v>
      </c>
      <c r="X31" s="81">
        <v>2.8887</v>
      </c>
      <c r="Y31" s="81">
        <v>2.9072</v>
      </c>
      <c r="Z31" s="81" t="s">
        <v>319</v>
      </c>
    </row>
    <row r="32" spans="1:26">
      <c r="A32" s="81" t="s">
        <v>306</v>
      </c>
      <c r="B32" s="82">
        <v>42900</v>
      </c>
      <c r="C32" s="81" t="s">
        <v>5</v>
      </c>
      <c r="D32" s="82">
        <v>44726</v>
      </c>
      <c r="E32" s="81" t="s">
        <v>6</v>
      </c>
      <c r="F32" s="81" t="s">
        <v>677</v>
      </c>
      <c r="G32" s="83">
        <v>900000</v>
      </c>
      <c r="H32" s="83">
        <v>900000</v>
      </c>
      <c r="I32" s="81" t="s">
        <v>33</v>
      </c>
      <c r="J32" s="81">
        <v>6</v>
      </c>
      <c r="K32" s="81">
        <v>2.11</v>
      </c>
      <c r="L32" s="81" t="s">
        <v>34</v>
      </c>
      <c r="M32" s="81" t="s">
        <v>34</v>
      </c>
      <c r="N32" s="81" t="s">
        <v>35</v>
      </c>
      <c r="O32" s="81" t="s">
        <v>36</v>
      </c>
      <c r="P32" s="81" t="s">
        <v>37</v>
      </c>
      <c r="Q32" s="81" t="s">
        <v>294</v>
      </c>
      <c r="R32" s="81" t="s">
        <v>39</v>
      </c>
      <c r="S32" s="81">
        <v>1.329</v>
      </c>
      <c r="T32" s="81">
        <v>10256.59</v>
      </c>
      <c r="U32" s="81">
        <v>10214.84</v>
      </c>
      <c r="V32" s="81" t="s">
        <v>196</v>
      </c>
      <c r="W32" s="81">
        <v>3030000</v>
      </c>
      <c r="X32" s="81">
        <v>2.7021999999999999</v>
      </c>
      <c r="Y32" s="81">
        <v>2.7183000000000002</v>
      </c>
      <c r="Z32" s="81" t="s">
        <v>307</v>
      </c>
    </row>
    <row r="33" spans="1:26">
      <c r="A33" s="81" t="s">
        <v>256</v>
      </c>
      <c r="B33" s="82">
        <v>42025</v>
      </c>
      <c r="C33" s="81" t="s">
        <v>5</v>
      </c>
      <c r="D33" s="82">
        <v>44582</v>
      </c>
      <c r="E33" s="81" t="s">
        <v>10</v>
      </c>
      <c r="F33" s="81" t="s">
        <v>678</v>
      </c>
      <c r="G33" s="83">
        <v>600000</v>
      </c>
      <c r="H33" s="83">
        <v>600000</v>
      </c>
      <c r="I33" s="81" t="s">
        <v>33</v>
      </c>
      <c r="J33" s="81">
        <v>6</v>
      </c>
      <c r="K33" s="81">
        <v>2.34</v>
      </c>
      <c r="L33" s="81" t="s">
        <v>34</v>
      </c>
      <c r="M33" s="81" t="s">
        <v>34</v>
      </c>
      <c r="N33" s="81" t="s">
        <v>35</v>
      </c>
      <c r="O33" s="81" t="s">
        <v>36</v>
      </c>
      <c r="P33" s="81" t="s">
        <v>37</v>
      </c>
      <c r="Q33" s="81" t="s">
        <v>38</v>
      </c>
      <c r="R33" s="81" t="s">
        <v>39</v>
      </c>
      <c r="S33" s="81">
        <v>1.3280000000000001</v>
      </c>
      <c r="T33" s="81">
        <v>10261.93</v>
      </c>
      <c r="U33" s="81">
        <v>10237.85</v>
      </c>
      <c r="V33" s="81" t="s">
        <v>196</v>
      </c>
      <c r="W33" s="81">
        <v>3030000</v>
      </c>
      <c r="X33" s="81">
        <v>2.3258000000000001</v>
      </c>
      <c r="Y33" s="81">
        <v>2.3435000000000001</v>
      </c>
      <c r="Z33" s="81" t="s">
        <v>257</v>
      </c>
    </row>
    <row r="34" spans="1:26">
      <c r="A34" s="81" t="s">
        <v>390</v>
      </c>
      <c r="B34" s="82">
        <v>43334</v>
      </c>
      <c r="C34" s="81" t="s">
        <v>5</v>
      </c>
      <c r="D34" s="82">
        <v>44430</v>
      </c>
      <c r="E34" s="81" t="s">
        <v>13</v>
      </c>
      <c r="F34" s="81" t="s">
        <v>679</v>
      </c>
      <c r="G34" s="83">
        <v>450000</v>
      </c>
      <c r="H34" s="83">
        <v>450000</v>
      </c>
      <c r="I34" s="81" t="s">
        <v>33</v>
      </c>
      <c r="J34" s="81">
        <v>6</v>
      </c>
      <c r="K34" s="81">
        <v>2.09</v>
      </c>
      <c r="L34" s="81" t="s">
        <v>34</v>
      </c>
      <c r="M34" s="81" t="s">
        <v>34</v>
      </c>
      <c r="N34" s="81" t="s">
        <v>35</v>
      </c>
      <c r="O34" s="81" t="s">
        <v>36</v>
      </c>
      <c r="P34" s="81" t="s">
        <v>37</v>
      </c>
      <c r="Q34" s="81" t="s">
        <v>38</v>
      </c>
      <c r="R34" s="81" t="s">
        <v>39</v>
      </c>
      <c r="S34" s="81">
        <v>1.33</v>
      </c>
      <c r="T34" s="81">
        <v>10151.620000000001</v>
      </c>
      <c r="U34" s="81">
        <v>10149.469999999999</v>
      </c>
      <c r="V34" s="81" t="s">
        <v>196</v>
      </c>
      <c r="W34" s="81">
        <v>3030000</v>
      </c>
      <c r="X34" s="81">
        <v>1.9404999999999999</v>
      </c>
      <c r="Y34" s="81">
        <v>1.9530000000000001</v>
      </c>
      <c r="Z34" s="81" t="s">
        <v>391</v>
      </c>
    </row>
    <row r="35" spans="1:26">
      <c r="A35" s="81" t="s">
        <v>362</v>
      </c>
      <c r="B35" s="82">
        <v>43248</v>
      </c>
      <c r="C35" s="81" t="s">
        <v>40</v>
      </c>
      <c r="D35" s="82">
        <v>44344</v>
      </c>
      <c r="E35" s="81" t="s">
        <v>10</v>
      </c>
      <c r="F35" s="81" t="s">
        <v>680</v>
      </c>
      <c r="G35" s="83">
        <v>400000</v>
      </c>
      <c r="H35" s="83">
        <v>400000</v>
      </c>
      <c r="I35" s="81" t="s">
        <v>33</v>
      </c>
      <c r="J35" s="81">
        <v>6</v>
      </c>
      <c r="K35" s="81">
        <v>2.37</v>
      </c>
      <c r="L35" s="81" t="s">
        <v>34</v>
      </c>
      <c r="M35" s="81" t="s">
        <v>34</v>
      </c>
      <c r="N35" s="81" t="s">
        <v>35</v>
      </c>
      <c r="O35" s="81" t="s">
        <v>36</v>
      </c>
      <c r="P35" s="81" t="s">
        <v>37</v>
      </c>
      <c r="Q35" s="81" t="s">
        <v>294</v>
      </c>
      <c r="R35" s="81" t="s">
        <v>39</v>
      </c>
      <c r="S35" s="81">
        <v>1.321</v>
      </c>
      <c r="T35" s="81">
        <v>10239.91</v>
      </c>
      <c r="U35" s="81">
        <v>10181.94</v>
      </c>
      <c r="V35" s="81" t="s">
        <v>196</v>
      </c>
      <c r="W35" s="81">
        <v>3030000</v>
      </c>
      <c r="X35" s="81">
        <v>1.7052</v>
      </c>
      <c r="Y35" s="81">
        <v>1.7135</v>
      </c>
      <c r="Z35" s="81" t="s">
        <v>363</v>
      </c>
    </row>
    <row r="36" spans="1:26">
      <c r="A36" s="81" t="s">
        <v>303</v>
      </c>
      <c r="B36" s="82">
        <v>42872</v>
      </c>
      <c r="C36" s="81" t="s">
        <v>5</v>
      </c>
      <c r="D36" s="82">
        <v>44333</v>
      </c>
      <c r="E36" s="81" t="s">
        <v>40</v>
      </c>
      <c r="F36" s="81" t="s">
        <v>681</v>
      </c>
      <c r="G36" s="83">
        <v>900000</v>
      </c>
      <c r="H36" s="83">
        <v>900000</v>
      </c>
      <c r="I36" s="81" t="s">
        <v>33</v>
      </c>
      <c r="J36" s="81">
        <v>6</v>
      </c>
      <c r="K36" s="81">
        <v>1.99</v>
      </c>
      <c r="L36" s="81" t="s">
        <v>34</v>
      </c>
      <c r="M36" s="81" t="s">
        <v>34</v>
      </c>
      <c r="N36" s="81" t="s">
        <v>35</v>
      </c>
      <c r="O36" s="81" t="s">
        <v>36</v>
      </c>
      <c r="P36" s="81" t="s">
        <v>37</v>
      </c>
      <c r="Q36" s="81" t="s">
        <v>294</v>
      </c>
      <c r="R36" s="81" t="s">
        <v>39</v>
      </c>
      <c r="S36" s="81">
        <v>1.32</v>
      </c>
      <c r="T36" s="81">
        <v>10169.02</v>
      </c>
      <c r="U36" s="81">
        <v>10114.469999999999</v>
      </c>
      <c r="V36" s="81" t="s">
        <v>196</v>
      </c>
      <c r="W36" s="81">
        <v>3030000</v>
      </c>
      <c r="X36" s="81">
        <v>1.6808000000000001</v>
      </c>
      <c r="Y36" s="81">
        <v>1.6887000000000001</v>
      </c>
      <c r="Z36" s="81" t="s">
        <v>304</v>
      </c>
    </row>
    <row r="37" spans="1:26">
      <c r="A37" s="81" t="s">
        <v>347</v>
      </c>
      <c r="B37" s="82">
        <v>43152</v>
      </c>
      <c r="C37" s="81" t="s">
        <v>5</v>
      </c>
      <c r="D37" s="82">
        <v>44248</v>
      </c>
      <c r="E37" s="81" t="s">
        <v>13</v>
      </c>
      <c r="F37" s="81" t="s">
        <v>682</v>
      </c>
      <c r="G37" s="83">
        <v>280000</v>
      </c>
      <c r="H37" s="83">
        <v>280000</v>
      </c>
      <c r="I37" s="81" t="s">
        <v>33</v>
      </c>
      <c r="J37" s="81">
        <v>6</v>
      </c>
      <c r="K37" s="81">
        <v>2.5299999999999998</v>
      </c>
      <c r="L37" s="81" t="s">
        <v>34</v>
      </c>
      <c r="M37" s="81" t="s">
        <v>34</v>
      </c>
      <c r="N37" s="81" t="s">
        <v>35</v>
      </c>
      <c r="O37" s="81" t="s">
        <v>36</v>
      </c>
      <c r="P37" s="81" t="s">
        <v>37</v>
      </c>
      <c r="Q37" s="81" t="s">
        <v>294</v>
      </c>
      <c r="R37" s="81" t="s">
        <v>39</v>
      </c>
      <c r="S37" s="81">
        <v>1.3140000000000001</v>
      </c>
      <c r="T37" s="81">
        <v>10182.549999999999</v>
      </c>
      <c r="U37" s="81">
        <v>10178.040000000001</v>
      </c>
      <c r="V37" s="81" t="s">
        <v>196</v>
      </c>
      <c r="W37" s="81">
        <v>3030000</v>
      </c>
      <c r="X37" s="81">
        <v>1.4531000000000001</v>
      </c>
      <c r="Y37" s="81">
        <v>1.4662999999999999</v>
      </c>
      <c r="Z37" s="81" t="s">
        <v>348</v>
      </c>
    </row>
    <row r="38" spans="1:26">
      <c r="A38" s="81" t="s">
        <v>293</v>
      </c>
      <c r="B38" s="82">
        <v>42753</v>
      </c>
      <c r="C38" s="81" t="s">
        <v>5</v>
      </c>
      <c r="D38" s="82">
        <v>44214</v>
      </c>
      <c r="E38" s="81" t="s">
        <v>40</v>
      </c>
      <c r="F38" s="81" t="s">
        <v>683</v>
      </c>
      <c r="G38" s="83">
        <v>440000</v>
      </c>
      <c r="H38" s="83">
        <v>440000</v>
      </c>
      <c r="I38" s="81" t="s">
        <v>33</v>
      </c>
      <c r="J38" s="81">
        <v>6</v>
      </c>
      <c r="K38" s="81">
        <v>1.88</v>
      </c>
      <c r="L38" s="81" t="s">
        <v>34</v>
      </c>
      <c r="M38" s="81" t="s">
        <v>34</v>
      </c>
      <c r="N38" s="81" t="s">
        <v>35</v>
      </c>
      <c r="O38" s="81" t="s">
        <v>36</v>
      </c>
      <c r="P38" s="81" t="s">
        <v>37</v>
      </c>
      <c r="Q38" s="81" t="s">
        <v>294</v>
      </c>
      <c r="R38" s="81" t="s">
        <v>39</v>
      </c>
      <c r="S38" s="81">
        <v>1.3089999999999999</v>
      </c>
      <c r="T38" s="81">
        <v>10099.07</v>
      </c>
      <c r="U38" s="81">
        <v>10078.780000000001</v>
      </c>
      <c r="V38" s="81" t="s">
        <v>196</v>
      </c>
      <c r="W38" s="81">
        <v>3030000</v>
      </c>
      <c r="X38" s="81">
        <v>1.3664000000000001</v>
      </c>
      <c r="Y38" s="81">
        <v>1.3777999999999999</v>
      </c>
      <c r="Z38" s="81" t="s">
        <v>295</v>
      </c>
    </row>
    <row r="39" spans="1:26">
      <c r="A39" s="81" t="s">
        <v>326</v>
      </c>
      <c r="B39" s="82">
        <v>43026</v>
      </c>
      <c r="C39" s="81" t="s">
        <v>5</v>
      </c>
      <c r="D39" s="82">
        <v>44122</v>
      </c>
      <c r="E39" s="81" t="s">
        <v>13</v>
      </c>
      <c r="F39" s="81" t="s">
        <v>684</v>
      </c>
      <c r="G39" s="83">
        <v>290000</v>
      </c>
      <c r="H39" s="83">
        <v>290000</v>
      </c>
      <c r="I39" s="81" t="s">
        <v>33</v>
      </c>
      <c r="J39" s="81">
        <v>6</v>
      </c>
      <c r="K39" s="81">
        <v>2.11</v>
      </c>
      <c r="L39" s="81" t="s">
        <v>34</v>
      </c>
      <c r="M39" s="81" t="s">
        <v>34</v>
      </c>
      <c r="N39" s="81" t="s">
        <v>35</v>
      </c>
      <c r="O39" s="81" t="s">
        <v>36</v>
      </c>
      <c r="P39" s="81" t="s">
        <v>37</v>
      </c>
      <c r="Q39" s="81" t="s">
        <v>294</v>
      </c>
      <c r="R39" s="81" t="s">
        <v>39</v>
      </c>
      <c r="S39" s="81">
        <v>1.2989999999999999</v>
      </c>
      <c r="T39" s="81">
        <v>10167.370000000001</v>
      </c>
      <c r="U39" s="81">
        <v>10092</v>
      </c>
      <c r="V39" s="81" t="s">
        <v>196</v>
      </c>
      <c r="W39" s="81">
        <v>3030000</v>
      </c>
      <c r="X39" s="81">
        <v>1.1172</v>
      </c>
      <c r="Y39" s="81">
        <v>1.1242000000000001</v>
      </c>
      <c r="Z39" s="81" t="s">
        <v>327</v>
      </c>
    </row>
    <row r="40" spans="1:26">
      <c r="A40" s="81" t="s">
        <v>258</v>
      </c>
      <c r="B40" s="82">
        <v>42123</v>
      </c>
      <c r="C40" s="81" t="s">
        <v>5</v>
      </c>
      <c r="D40" s="82">
        <v>43950</v>
      </c>
      <c r="E40" s="81" t="s">
        <v>5</v>
      </c>
      <c r="F40" s="81" t="s">
        <v>685</v>
      </c>
      <c r="G40" s="83">
        <v>1000000</v>
      </c>
      <c r="H40" s="83">
        <v>1000000</v>
      </c>
      <c r="I40" s="81" t="s">
        <v>33</v>
      </c>
      <c r="J40" s="81">
        <v>6</v>
      </c>
      <c r="K40" s="81">
        <v>2.12</v>
      </c>
      <c r="L40" s="81" t="s">
        <v>34</v>
      </c>
      <c r="M40" s="81" t="s">
        <v>34</v>
      </c>
      <c r="N40" s="81" t="s">
        <v>35</v>
      </c>
      <c r="O40" s="81" t="s">
        <v>36</v>
      </c>
      <c r="P40" s="81" t="s">
        <v>37</v>
      </c>
      <c r="Q40" s="81" t="s">
        <v>38</v>
      </c>
      <c r="R40" s="81" t="s">
        <v>39</v>
      </c>
      <c r="S40" s="81">
        <v>1.2969999999999999</v>
      </c>
      <c r="T40" s="81">
        <v>10124.59</v>
      </c>
      <c r="U40" s="81">
        <v>10055.290000000001</v>
      </c>
      <c r="V40" s="81" t="s">
        <v>196</v>
      </c>
      <c r="W40" s="81">
        <v>3030000</v>
      </c>
      <c r="X40" s="81">
        <v>0.66059999999999997</v>
      </c>
      <c r="Y40" s="81">
        <v>0.66410000000000002</v>
      </c>
      <c r="Z40" s="81" t="s">
        <v>259</v>
      </c>
    </row>
    <row r="41" spans="1:26">
      <c r="A41" s="81" t="s">
        <v>260</v>
      </c>
      <c r="B41" s="82">
        <v>42081</v>
      </c>
      <c r="C41" s="81" t="s">
        <v>5</v>
      </c>
      <c r="D41" s="82">
        <v>43908</v>
      </c>
      <c r="E41" s="81" t="s">
        <v>5</v>
      </c>
      <c r="F41" s="81" t="s">
        <v>686</v>
      </c>
      <c r="G41" s="83">
        <v>1210000</v>
      </c>
      <c r="H41" s="83">
        <v>1210000</v>
      </c>
      <c r="I41" s="81" t="s">
        <v>33</v>
      </c>
      <c r="J41" s="81">
        <v>6</v>
      </c>
      <c r="K41" s="81">
        <v>2.09</v>
      </c>
      <c r="L41" s="81" t="s">
        <v>34</v>
      </c>
      <c r="M41" s="81" t="s">
        <v>34</v>
      </c>
      <c r="N41" s="81" t="s">
        <v>35</v>
      </c>
      <c r="O41" s="81" t="s">
        <v>36</v>
      </c>
      <c r="P41" s="81" t="s">
        <v>37</v>
      </c>
      <c r="Q41" s="81" t="s">
        <v>38</v>
      </c>
      <c r="R41" s="81" t="s">
        <v>39</v>
      </c>
      <c r="S41" s="81">
        <v>1.3080000000000001</v>
      </c>
      <c r="T41" s="81">
        <v>10135.75</v>
      </c>
      <c r="U41" s="81">
        <v>10043.870000000001</v>
      </c>
      <c r="V41" s="81" t="s">
        <v>196</v>
      </c>
      <c r="W41" s="81">
        <v>3030000</v>
      </c>
      <c r="X41" s="81">
        <v>0.54859999999999998</v>
      </c>
      <c r="Y41" s="81">
        <v>0.54949999999999999</v>
      </c>
      <c r="Z41" s="81" t="s">
        <v>261</v>
      </c>
    </row>
    <row r="42" spans="1:26">
      <c r="A42" s="81" t="s">
        <v>262</v>
      </c>
      <c r="B42" s="82">
        <v>42039</v>
      </c>
      <c r="C42" s="81" t="s">
        <v>5</v>
      </c>
      <c r="D42" s="82">
        <v>43865</v>
      </c>
      <c r="E42" s="81" t="s">
        <v>6</v>
      </c>
      <c r="F42" s="81" t="s">
        <v>646</v>
      </c>
      <c r="G42" s="83">
        <v>920000</v>
      </c>
      <c r="H42" s="83">
        <v>920000</v>
      </c>
      <c r="I42" s="81" t="s">
        <v>33</v>
      </c>
      <c r="J42" s="81">
        <v>6</v>
      </c>
      <c r="K42" s="81">
        <v>2.16</v>
      </c>
      <c r="L42" s="81" t="s">
        <v>34</v>
      </c>
      <c r="M42" s="81" t="s">
        <v>34</v>
      </c>
      <c r="N42" s="81" t="s">
        <v>35</v>
      </c>
      <c r="O42" s="81" t="s">
        <v>36</v>
      </c>
      <c r="P42" s="81" t="s">
        <v>37</v>
      </c>
      <c r="Q42" s="81" t="s">
        <v>38</v>
      </c>
      <c r="R42" s="81" t="s">
        <v>39</v>
      </c>
      <c r="S42" s="81">
        <v>1.323</v>
      </c>
      <c r="T42" s="81">
        <v>10050.18</v>
      </c>
      <c r="U42" s="81">
        <v>10036.629999999999</v>
      </c>
      <c r="V42" s="81" t="s">
        <v>196</v>
      </c>
      <c r="W42" s="81">
        <v>3030000</v>
      </c>
      <c r="X42" s="81">
        <v>0.43230000000000002</v>
      </c>
      <c r="Y42" s="81">
        <v>0.43709999999999999</v>
      </c>
      <c r="Z42" s="81" t="s">
        <v>263</v>
      </c>
    </row>
    <row r="43" spans="1:26">
      <c r="A43" s="81" t="s">
        <v>290</v>
      </c>
      <c r="B43" s="82">
        <v>42712</v>
      </c>
      <c r="C43" s="81" t="s">
        <v>4</v>
      </c>
      <c r="D43" s="82">
        <v>43807</v>
      </c>
      <c r="E43" s="81" t="s">
        <v>13</v>
      </c>
      <c r="F43" s="81" t="s">
        <v>687</v>
      </c>
      <c r="G43" s="83">
        <v>600000</v>
      </c>
      <c r="H43" s="83">
        <v>600000</v>
      </c>
      <c r="I43" s="81" t="s">
        <v>33</v>
      </c>
      <c r="J43" s="81">
        <v>6</v>
      </c>
      <c r="K43" s="81">
        <v>1.9</v>
      </c>
      <c r="L43" s="81" t="s">
        <v>34</v>
      </c>
      <c r="M43" s="81" t="s">
        <v>34</v>
      </c>
      <c r="N43" s="81" t="s">
        <v>35</v>
      </c>
      <c r="O43" s="81" t="s">
        <v>36</v>
      </c>
      <c r="P43" s="81" t="s">
        <v>37</v>
      </c>
      <c r="Q43" s="81" t="s">
        <v>38</v>
      </c>
      <c r="R43" s="81" t="s">
        <v>39</v>
      </c>
      <c r="S43" s="81">
        <v>1.343</v>
      </c>
      <c r="T43" s="81">
        <v>10057.34</v>
      </c>
      <c r="U43" s="81">
        <v>10015.51</v>
      </c>
      <c r="V43" s="81" t="s">
        <v>196</v>
      </c>
      <c r="W43" s="81">
        <v>3030000</v>
      </c>
      <c r="X43" s="81">
        <v>0.27760000000000001</v>
      </c>
      <c r="Y43" s="81">
        <v>0.27860000000000001</v>
      </c>
      <c r="Z43" s="81" t="s">
        <v>291</v>
      </c>
    </row>
    <row r="44" spans="1:26">
      <c r="A44" s="81" t="s">
        <v>34</v>
      </c>
      <c r="B44" s="81" t="s">
        <v>34</v>
      </c>
      <c r="D44" s="81" t="s">
        <v>34</v>
      </c>
      <c r="F44" s="81" t="s">
        <v>34</v>
      </c>
      <c r="G44" s="81" t="s">
        <v>34</v>
      </c>
      <c r="H44" s="81" t="s">
        <v>34</v>
      </c>
      <c r="I44" s="81" t="s">
        <v>34</v>
      </c>
      <c r="J44" s="81" t="s">
        <v>34</v>
      </c>
      <c r="K44" s="81">
        <v>1.63</v>
      </c>
      <c r="L44" s="81" t="s">
        <v>34</v>
      </c>
      <c r="M44" s="81" t="s">
        <v>34</v>
      </c>
      <c r="N44" s="81" t="s">
        <v>35</v>
      </c>
      <c r="O44" s="81" t="s">
        <v>34</v>
      </c>
      <c r="P44" s="81" t="s">
        <v>271</v>
      </c>
      <c r="Q44" s="81" t="s">
        <v>34</v>
      </c>
      <c r="R44" s="81" t="s">
        <v>34</v>
      </c>
      <c r="S44" s="81" t="s">
        <v>34</v>
      </c>
      <c r="T44" s="81" t="s">
        <v>34</v>
      </c>
      <c r="V44" s="81" t="s">
        <v>34</v>
      </c>
      <c r="W44" s="81" t="s">
        <v>34</v>
      </c>
      <c r="X44" s="81" t="s">
        <v>34</v>
      </c>
      <c r="Y44" s="81" t="s">
        <v>34</v>
      </c>
      <c r="Z44" s="81" t="s">
        <v>34</v>
      </c>
    </row>
    <row r="45" spans="1:26">
      <c r="A45" s="81" t="s">
        <v>34</v>
      </c>
      <c r="B45" s="81" t="s">
        <v>34</v>
      </c>
      <c r="D45" s="81" t="s">
        <v>34</v>
      </c>
      <c r="F45" s="81" t="s">
        <v>34</v>
      </c>
      <c r="G45" s="81" t="s">
        <v>34</v>
      </c>
      <c r="H45" s="81" t="s">
        <v>34</v>
      </c>
      <c r="I45" s="81" t="s">
        <v>34</v>
      </c>
      <c r="J45" s="81" t="s">
        <v>34</v>
      </c>
      <c r="K45" s="81">
        <v>1.76</v>
      </c>
      <c r="L45" s="81" t="s">
        <v>34</v>
      </c>
      <c r="M45" s="81" t="s">
        <v>34</v>
      </c>
      <c r="N45" s="81" t="s">
        <v>35</v>
      </c>
      <c r="O45" s="81" t="s">
        <v>34</v>
      </c>
      <c r="P45" s="81" t="s">
        <v>271</v>
      </c>
      <c r="Q45" s="81" t="s">
        <v>34</v>
      </c>
      <c r="R45" s="81" t="s">
        <v>34</v>
      </c>
      <c r="S45" s="81" t="s">
        <v>34</v>
      </c>
      <c r="T45" s="81" t="s">
        <v>34</v>
      </c>
      <c r="V45" s="81" t="s">
        <v>34</v>
      </c>
      <c r="W45" s="81" t="s">
        <v>34</v>
      </c>
      <c r="X45" s="81" t="s">
        <v>34</v>
      </c>
      <c r="Y45" s="81" t="s">
        <v>34</v>
      </c>
      <c r="Z45" s="81" t="s">
        <v>34</v>
      </c>
    </row>
    <row r="46" spans="1:26">
      <c r="A46" s="81" t="s">
        <v>34</v>
      </c>
      <c r="B46" s="81" t="s">
        <v>34</v>
      </c>
      <c r="D46" s="81" t="s">
        <v>34</v>
      </c>
      <c r="F46" s="81" t="s">
        <v>34</v>
      </c>
      <c r="G46" s="81" t="s">
        <v>34</v>
      </c>
      <c r="H46" s="81" t="s">
        <v>34</v>
      </c>
      <c r="I46" s="81" t="s">
        <v>34</v>
      </c>
      <c r="J46" s="81" t="s">
        <v>34</v>
      </c>
      <c r="K46" s="81">
        <v>1.79</v>
      </c>
      <c r="L46" s="81" t="s">
        <v>34</v>
      </c>
      <c r="M46" s="81" t="s">
        <v>34</v>
      </c>
      <c r="N46" s="81" t="s">
        <v>35</v>
      </c>
      <c r="O46" s="81" t="s">
        <v>34</v>
      </c>
      <c r="P46" s="81" t="s">
        <v>271</v>
      </c>
      <c r="Q46" s="81" t="s">
        <v>34</v>
      </c>
      <c r="R46" s="81" t="s">
        <v>34</v>
      </c>
      <c r="S46" s="81" t="s">
        <v>34</v>
      </c>
      <c r="T46" s="81" t="s">
        <v>34</v>
      </c>
      <c r="V46" s="81" t="s">
        <v>34</v>
      </c>
      <c r="W46" s="81" t="s">
        <v>34</v>
      </c>
      <c r="X46" s="81" t="s">
        <v>34</v>
      </c>
      <c r="Y46" s="81" t="s">
        <v>34</v>
      </c>
      <c r="Z46" s="81" t="s">
        <v>34</v>
      </c>
    </row>
    <row r="47" spans="1:26">
      <c r="A47" s="81" t="s">
        <v>34</v>
      </c>
      <c r="B47" s="81" t="s">
        <v>34</v>
      </c>
      <c r="D47" s="81" t="s">
        <v>34</v>
      </c>
      <c r="F47" s="81" t="s">
        <v>34</v>
      </c>
      <c r="G47" s="81" t="s">
        <v>34</v>
      </c>
      <c r="H47" s="81" t="s">
        <v>34</v>
      </c>
      <c r="I47" s="81" t="s">
        <v>34</v>
      </c>
      <c r="J47" s="81" t="s">
        <v>34</v>
      </c>
      <c r="K47" s="81">
        <v>1.86</v>
      </c>
      <c r="L47" s="81" t="s">
        <v>34</v>
      </c>
      <c r="M47" s="81" t="s">
        <v>34</v>
      </c>
      <c r="N47" s="81" t="s">
        <v>35</v>
      </c>
      <c r="O47" s="81" t="s">
        <v>34</v>
      </c>
      <c r="P47" s="81" t="s">
        <v>271</v>
      </c>
      <c r="Q47" s="81" t="s">
        <v>34</v>
      </c>
      <c r="R47" s="81" t="s">
        <v>34</v>
      </c>
      <c r="S47" s="81" t="s">
        <v>34</v>
      </c>
      <c r="T47" s="81" t="s">
        <v>34</v>
      </c>
      <c r="V47" s="81" t="s">
        <v>34</v>
      </c>
      <c r="W47" s="81" t="s">
        <v>34</v>
      </c>
      <c r="X47" s="81" t="s">
        <v>34</v>
      </c>
      <c r="Y47" s="81" t="s">
        <v>34</v>
      </c>
      <c r="Z47" s="81" t="s">
        <v>34</v>
      </c>
    </row>
    <row r="48" spans="1:26">
      <c r="A48" s="81" t="s">
        <v>34</v>
      </c>
      <c r="B48" s="81" t="s">
        <v>34</v>
      </c>
      <c r="D48" s="81" t="s">
        <v>34</v>
      </c>
      <c r="F48" s="81" t="s">
        <v>34</v>
      </c>
      <c r="G48" s="81" t="s">
        <v>34</v>
      </c>
      <c r="H48" s="81" t="s">
        <v>34</v>
      </c>
      <c r="I48" s="81" t="s">
        <v>34</v>
      </c>
      <c r="J48" s="81" t="s">
        <v>34</v>
      </c>
      <c r="K48" s="81">
        <v>2.99</v>
      </c>
      <c r="L48" s="81" t="s">
        <v>34</v>
      </c>
      <c r="M48" s="81" t="s">
        <v>34</v>
      </c>
      <c r="N48" s="81" t="s">
        <v>35</v>
      </c>
      <c r="O48" s="81" t="s">
        <v>34</v>
      </c>
      <c r="P48" s="81" t="s">
        <v>271</v>
      </c>
      <c r="Q48" s="81" t="s">
        <v>34</v>
      </c>
      <c r="R48" s="81" t="s">
        <v>34</v>
      </c>
      <c r="S48" s="81" t="s">
        <v>34</v>
      </c>
      <c r="T48" s="81" t="s">
        <v>34</v>
      </c>
      <c r="V48" s="81" t="s">
        <v>34</v>
      </c>
      <c r="W48" s="81" t="s">
        <v>34</v>
      </c>
      <c r="X48" s="81" t="s">
        <v>34</v>
      </c>
      <c r="Y48" s="81" t="s">
        <v>34</v>
      </c>
      <c r="Z48" s="81" t="s">
        <v>34</v>
      </c>
    </row>
    <row r="49" spans="1:26">
      <c r="A49" s="81" t="s">
        <v>34</v>
      </c>
      <c r="B49" s="81" t="s">
        <v>34</v>
      </c>
      <c r="D49" s="81" t="s">
        <v>34</v>
      </c>
      <c r="F49" s="81" t="s">
        <v>34</v>
      </c>
      <c r="G49" s="81" t="s">
        <v>34</v>
      </c>
      <c r="H49" s="81" t="s">
        <v>34</v>
      </c>
      <c r="I49" s="81" t="s">
        <v>34</v>
      </c>
      <c r="J49" s="81" t="s">
        <v>34</v>
      </c>
      <c r="K49" s="81">
        <v>3.02</v>
      </c>
      <c r="L49" s="81" t="s">
        <v>34</v>
      </c>
      <c r="M49" s="81" t="s">
        <v>34</v>
      </c>
      <c r="N49" s="81" t="s">
        <v>35</v>
      </c>
      <c r="O49" s="81" t="s">
        <v>34</v>
      </c>
      <c r="P49" s="81" t="s">
        <v>271</v>
      </c>
      <c r="Q49" s="81" t="s">
        <v>34</v>
      </c>
      <c r="R49" s="81" t="s">
        <v>34</v>
      </c>
      <c r="S49" s="81" t="s">
        <v>34</v>
      </c>
      <c r="T49" s="81" t="s">
        <v>34</v>
      </c>
      <c r="V49" s="81" t="s">
        <v>34</v>
      </c>
      <c r="W49" s="81" t="s">
        <v>34</v>
      </c>
      <c r="X49" s="81" t="s">
        <v>34</v>
      </c>
      <c r="Y49" s="81" t="s">
        <v>34</v>
      </c>
      <c r="Z49" s="81" t="s">
        <v>34</v>
      </c>
    </row>
    <row r="50" spans="1:26">
      <c r="A50" s="81" t="s">
        <v>34</v>
      </c>
      <c r="B50" s="81" t="s">
        <v>34</v>
      </c>
      <c r="D50" s="81" t="s">
        <v>34</v>
      </c>
      <c r="F50" s="81" t="s">
        <v>34</v>
      </c>
      <c r="G50" s="81" t="s">
        <v>34</v>
      </c>
      <c r="H50" s="81" t="s">
        <v>34</v>
      </c>
      <c r="I50" s="81" t="s">
        <v>34</v>
      </c>
      <c r="J50" s="81" t="s">
        <v>34</v>
      </c>
      <c r="K50" s="81">
        <v>3.12</v>
      </c>
      <c r="L50" s="81" t="s">
        <v>34</v>
      </c>
      <c r="M50" s="81" t="s">
        <v>34</v>
      </c>
      <c r="N50" s="81" t="s">
        <v>35</v>
      </c>
      <c r="O50" s="81" t="s">
        <v>34</v>
      </c>
      <c r="P50" s="81" t="s">
        <v>271</v>
      </c>
      <c r="Q50" s="81" t="s">
        <v>34</v>
      </c>
      <c r="R50" s="81" t="s">
        <v>34</v>
      </c>
      <c r="S50" s="81" t="s">
        <v>34</v>
      </c>
      <c r="T50" s="81" t="s">
        <v>34</v>
      </c>
      <c r="V50" s="81" t="s">
        <v>34</v>
      </c>
      <c r="W50" s="81" t="s">
        <v>34</v>
      </c>
      <c r="X50" s="81" t="s">
        <v>34</v>
      </c>
      <c r="Y50" s="81" t="s">
        <v>34</v>
      </c>
      <c r="Z50" s="81" t="s">
        <v>34</v>
      </c>
    </row>
    <row r="51" spans="1:26">
      <c r="A51" s="81" t="s">
        <v>34</v>
      </c>
      <c r="B51" s="81" t="s">
        <v>34</v>
      </c>
      <c r="D51" s="81" t="s">
        <v>34</v>
      </c>
      <c r="F51" s="81" t="s">
        <v>34</v>
      </c>
      <c r="G51" s="81" t="s">
        <v>34</v>
      </c>
      <c r="H51" s="81" t="s">
        <v>34</v>
      </c>
      <c r="I51" s="81" t="s">
        <v>34</v>
      </c>
      <c r="J51" s="81" t="s">
        <v>34</v>
      </c>
      <c r="K51" s="81">
        <v>3.74</v>
      </c>
      <c r="L51" s="81" t="s">
        <v>34</v>
      </c>
      <c r="M51" s="81" t="s">
        <v>34</v>
      </c>
      <c r="N51" s="81" t="s">
        <v>35</v>
      </c>
      <c r="O51" s="81" t="s">
        <v>34</v>
      </c>
      <c r="P51" s="81" t="s">
        <v>271</v>
      </c>
      <c r="Q51" s="81" t="s">
        <v>34</v>
      </c>
      <c r="R51" s="81" t="s">
        <v>34</v>
      </c>
      <c r="S51" s="81" t="s">
        <v>34</v>
      </c>
      <c r="T51" s="81" t="s">
        <v>34</v>
      </c>
      <c r="V51" s="81" t="s">
        <v>34</v>
      </c>
      <c r="W51" s="81" t="s">
        <v>34</v>
      </c>
      <c r="X51" s="81" t="s">
        <v>34</v>
      </c>
      <c r="Y51" s="81" t="s">
        <v>34</v>
      </c>
      <c r="Z51" s="81" t="s">
        <v>34</v>
      </c>
    </row>
    <row r="52" spans="1:26">
      <c r="A52" s="81" t="s">
        <v>34</v>
      </c>
      <c r="B52" s="81" t="s">
        <v>34</v>
      </c>
      <c r="D52" s="81" t="s">
        <v>34</v>
      </c>
      <c r="F52" s="81" t="s">
        <v>34</v>
      </c>
      <c r="G52" s="81" t="s">
        <v>34</v>
      </c>
      <c r="H52" s="81" t="s">
        <v>34</v>
      </c>
      <c r="I52" s="81" t="s">
        <v>34</v>
      </c>
      <c r="J52" s="81" t="s">
        <v>34</v>
      </c>
      <c r="K52" s="81">
        <v>3.87</v>
      </c>
      <c r="L52" s="81" t="s">
        <v>34</v>
      </c>
      <c r="M52" s="81" t="s">
        <v>34</v>
      </c>
      <c r="N52" s="81" t="s">
        <v>35</v>
      </c>
      <c r="O52" s="81" t="s">
        <v>34</v>
      </c>
      <c r="P52" s="81" t="s">
        <v>271</v>
      </c>
      <c r="Q52" s="81" t="s">
        <v>34</v>
      </c>
      <c r="R52" s="81" t="s">
        <v>34</v>
      </c>
      <c r="S52" s="81" t="s">
        <v>34</v>
      </c>
      <c r="T52" s="81" t="s">
        <v>34</v>
      </c>
      <c r="V52" s="81" t="s">
        <v>34</v>
      </c>
      <c r="W52" s="81" t="s">
        <v>34</v>
      </c>
      <c r="X52" s="81" t="s">
        <v>34</v>
      </c>
      <c r="Y52" s="81" t="s">
        <v>34</v>
      </c>
      <c r="Z52" s="81" t="s">
        <v>34</v>
      </c>
    </row>
    <row r="53" spans="1:26">
      <c r="A53" s="81" t="s">
        <v>34</v>
      </c>
      <c r="B53" s="81" t="s">
        <v>34</v>
      </c>
      <c r="D53" s="81" t="s">
        <v>34</v>
      </c>
      <c r="F53" s="81" t="s">
        <v>34</v>
      </c>
      <c r="G53" s="81" t="s">
        <v>34</v>
      </c>
      <c r="H53" s="81" t="s">
        <v>34</v>
      </c>
      <c r="I53" s="81" t="s">
        <v>34</v>
      </c>
      <c r="J53" s="81" t="s">
        <v>34</v>
      </c>
      <c r="K53" s="81">
        <v>3.09</v>
      </c>
      <c r="L53" s="81" t="s">
        <v>34</v>
      </c>
      <c r="M53" s="81" t="s">
        <v>34</v>
      </c>
      <c r="N53" s="81" t="s">
        <v>35</v>
      </c>
      <c r="O53" s="81" t="s">
        <v>34</v>
      </c>
      <c r="P53" s="81" t="s">
        <v>271</v>
      </c>
      <c r="Q53" s="81" t="s">
        <v>34</v>
      </c>
      <c r="R53" s="81" t="s">
        <v>34</v>
      </c>
      <c r="S53" s="81" t="s">
        <v>34</v>
      </c>
      <c r="T53" s="81" t="s">
        <v>34</v>
      </c>
      <c r="V53" s="81" t="s">
        <v>34</v>
      </c>
      <c r="W53" s="81" t="s">
        <v>34</v>
      </c>
      <c r="X53" s="81" t="s">
        <v>34</v>
      </c>
      <c r="Y53" s="81" t="s">
        <v>34</v>
      </c>
      <c r="Z53" s="81" t="s">
        <v>34</v>
      </c>
    </row>
    <row r="54" spans="1:26">
      <c r="A54" s="81" t="s">
        <v>34</v>
      </c>
      <c r="B54" s="81" t="s">
        <v>34</v>
      </c>
      <c r="D54" s="81" t="s">
        <v>34</v>
      </c>
      <c r="F54" s="81" t="s">
        <v>34</v>
      </c>
      <c r="G54" s="81" t="s">
        <v>34</v>
      </c>
      <c r="H54" s="81" t="s">
        <v>34</v>
      </c>
      <c r="I54" s="81" t="s">
        <v>34</v>
      </c>
      <c r="J54" s="81" t="s">
        <v>34</v>
      </c>
      <c r="K54" s="81">
        <v>3.98</v>
      </c>
      <c r="L54" s="81" t="s">
        <v>34</v>
      </c>
      <c r="M54" s="81" t="s">
        <v>34</v>
      </c>
      <c r="N54" s="81" t="s">
        <v>35</v>
      </c>
      <c r="O54" s="81" t="s">
        <v>34</v>
      </c>
      <c r="P54" s="81" t="s">
        <v>271</v>
      </c>
      <c r="Q54" s="81" t="s">
        <v>34</v>
      </c>
      <c r="R54" s="81" t="s">
        <v>34</v>
      </c>
      <c r="S54" s="81" t="s">
        <v>34</v>
      </c>
      <c r="T54" s="81" t="s">
        <v>34</v>
      </c>
      <c r="V54" s="81" t="s">
        <v>34</v>
      </c>
      <c r="W54" s="81" t="s">
        <v>34</v>
      </c>
      <c r="X54" s="81" t="s">
        <v>34</v>
      </c>
      <c r="Y54" s="81" t="s">
        <v>34</v>
      </c>
      <c r="Z54" s="81" t="s">
        <v>34</v>
      </c>
    </row>
    <row r="55" spans="1:26">
      <c r="A55" s="81" t="s">
        <v>328</v>
      </c>
      <c r="B55" s="82">
        <v>43040</v>
      </c>
      <c r="C55" s="81" t="s">
        <v>5</v>
      </c>
      <c r="D55" s="82">
        <v>44136</v>
      </c>
      <c r="E55" s="81" t="s">
        <v>13</v>
      </c>
      <c r="F55" s="81" t="s">
        <v>671</v>
      </c>
      <c r="G55" s="83">
        <v>1520000</v>
      </c>
      <c r="H55" s="83">
        <v>1520000</v>
      </c>
      <c r="I55" s="81" t="s">
        <v>33</v>
      </c>
      <c r="J55" s="81">
        <v>6</v>
      </c>
      <c r="K55" s="81">
        <v>2.39</v>
      </c>
      <c r="L55" s="81" t="s">
        <v>34</v>
      </c>
      <c r="M55" s="81" t="s">
        <v>34</v>
      </c>
      <c r="N55" s="81" t="s">
        <v>35</v>
      </c>
      <c r="O55" s="81" t="s">
        <v>41</v>
      </c>
      <c r="P55" s="81" t="s">
        <v>37</v>
      </c>
      <c r="Q55" s="81" t="s">
        <v>38</v>
      </c>
      <c r="R55" s="81" t="s">
        <v>39</v>
      </c>
      <c r="S55" s="81">
        <v>1.2649999999999999</v>
      </c>
      <c r="T55" s="81">
        <v>10208.129999999999</v>
      </c>
      <c r="U55" s="81">
        <v>10131.67</v>
      </c>
      <c r="V55" s="81" t="s">
        <v>196</v>
      </c>
      <c r="W55" s="81">
        <v>3030000</v>
      </c>
      <c r="X55" s="81">
        <v>1.1526000000000001</v>
      </c>
      <c r="Y55" s="81">
        <v>1.1605000000000001</v>
      </c>
      <c r="Z55" s="81" t="s">
        <v>329</v>
      </c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Q74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17" ht="16.5">
      <c r="A1" s="81" t="s">
        <v>46</v>
      </c>
      <c r="B1" s="81" t="s">
        <v>47</v>
      </c>
      <c r="C1" s="81" t="s">
        <v>48</v>
      </c>
      <c r="D1" s="81" t="s">
        <v>49</v>
      </c>
      <c r="E1" s="81" t="s">
        <v>50</v>
      </c>
      <c r="F1" s="81" t="s">
        <v>51</v>
      </c>
      <c r="G1" s="81" t="s">
        <v>52</v>
      </c>
      <c r="H1" s="81" t="s">
        <v>53</v>
      </c>
      <c r="I1" s="81" t="s">
        <v>54</v>
      </c>
      <c r="J1" s="81" t="s">
        <v>55</v>
      </c>
      <c r="K1" s="81" t="s">
        <v>56</v>
      </c>
      <c r="L1" s="81" t="s">
        <v>57</v>
      </c>
      <c r="M1" s="81" t="s">
        <v>58</v>
      </c>
      <c r="N1" s="81" t="s">
        <v>161</v>
      </c>
      <c r="O1" s="81" t="s">
        <v>59</v>
      </c>
      <c r="P1" s="81" t="s">
        <v>197</v>
      </c>
      <c r="Q1" s="81" t="s">
        <v>331</v>
      </c>
    </row>
    <row r="2" spans="1:17" ht="16.5">
      <c r="A2" s="81" t="s">
        <v>60</v>
      </c>
      <c r="B2" s="81">
        <v>1.2450000000000001</v>
      </c>
      <c r="C2" s="81">
        <v>1.2</v>
      </c>
      <c r="D2" s="81">
        <v>1.1559999999999999</v>
      </c>
      <c r="E2" s="81">
        <v>1.125</v>
      </c>
      <c r="F2" s="81">
        <v>1.1559999999999999</v>
      </c>
      <c r="G2" s="81">
        <v>1.2</v>
      </c>
      <c r="H2" s="81">
        <v>1.2010000000000001</v>
      </c>
      <c r="I2" s="81">
        <v>1.175</v>
      </c>
      <c r="J2" s="81">
        <v>1.2130000000000001</v>
      </c>
      <c r="K2" s="81">
        <v>1.21</v>
      </c>
      <c r="L2" s="81">
        <v>1.2350000000000001</v>
      </c>
      <c r="M2" s="81">
        <v>1.2410000000000001</v>
      </c>
      <c r="N2" s="81">
        <v>1.244</v>
      </c>
      <c r="O2" s="81">
        <v>1.25</v>
      </c>
      <c r="P2" s="81">
        <v>1.25</v>
      </c>
      <c r="Q2" s="81">
        <v>1.27</v>
      </c>
    </row>
    <row r="3" spans="1:17" ht="16.5">
      <c r="A3" s="81" t="s">
        <v>94</v>
      </c>
      <c r="B3" s="81">
        <v>1.2569999999999999</v>
      </c>
      <c r="C3" s="81">
        <v>1.2310000000000001</v>
      </c>
      <c r="D3" s="81">
        <v>1.202</v>
      </c>
      <c r="E3" s="81">
        <v>1.2030000000000001</v>
      </c>
      <c r="F3" s="81">
        <v>1.228</v>
      </c>
      <c r="G3" s="81">
        <v>1.2529999999999999</v>
      </c>
      <c r="H3" s="81">
        <v>1.2529999999999999</v>
      </c>
      <c r="I3" s="81">
        <v>1.26</v>
      </c>
      <c r="J3" s="81">
        <v>1.262</v>
      </c>
      <c r="K3" s="81">
        <v>1.2749999999999999</v>
      </c>
      <c r="L3" s="81" t="s">
        <v>34</v>
      </c>
      <c r="M3" s="81" t="s">
        <v>34</v>
      </c>
      <c r="N3" s="81" t="s">
        <v>34</v>
      </c>
      <c r="O3" s="81" t="s">
        <v>34</v>
      </c>
      <c r="P3" s="81" t="s">
        <v>34</v>
      </c>
      <c r="Q3" s="81" t="s">
        <v>34</v>
      </c>
    </row>
    <row r="4" spans="1:17" ht="16.5">
      <c r="A4" s="81" t="s">
        <v>95</v>
      </c>
      <c r="B4" s="81">
        <v>0.999</v>
      </c>
      <c r="C4" s="81">
        <v>0.97399999999999998</v>
      </c>
      <c r="D4" s="81">
        <v>0.94599999999999995</v>
      </c>
      <c r="E4" s="81">
        <v>0.94599999999999995</v>
      </c>
      <c r="F4" s="81">
        <v>0.97199999999999998</v>
      </c>
      <c r="G4" s="81">
        <v>0.997</v>
      </c>
      <c r="H4" s="81">
        <v>1.0029999999999999</v>
      </c>
      <c r="I4" s="81">
        <v>1.038</v>
      </c>
      <c r="J4" s="81">
        <v>1.0529999999999999</v>
      </c>
      <c r="K4" s="81">
        <v>1.0669999999999999</v>
      </c>
      <c r="L4" s="81">
        <v>1.1639999999999999</v>
      </c>
      <c r="M4" s="81">
        <v>1.2769999999999999</v>
      </c>
      <c r="N4" s="81">
        <v>1.377</v>
      </c>
      <c r="O4" s="81">
        <v>1.466</v>
      </c>
      <c r="P4" s="81" t="s">
        <v>34</v>
      </c>
      <c r="Q4" s="81" t="s">
        <v>34</v>
      </c>
    </row>
    <row r="5" spans="1:17" ht="16.5">
      <c r="A5" s="81" t="s">
        <v>61</v>
      </c>
      <c r="B5" s="81">
        <v>1.2949999999999999</v>
      </c>
      <c r="C5" s="81">
        <v>1.27</v>
      </c>
      <c r="D5" s="81">
        <v>1.2410000000000001</v>
      </c>
      <c r="E5" s="81">
        <v>1.242</v>
      </c>
      <c r="F5" s="81">
        <v>1.2669999999999999</v>
      </c>
      <c r="G5" s="81">
        <v>1.292</v>
      </c>
      <c r="H5" s="81">
        <v>1.296</v>
      </c>
      <c r="I5" s="81">
        <v>1.3049999999999999</v>
      </c>
      <c r="J5" s="81">
        <v>1.3089999999999999</v>
      </c>
      <c r="K5" s="81">
        <v>1.3240000000000001</v>
      </c>
      <c r="L5" s="81">
        <v>1.341</v>
      </c>
      <c r="M5" s="81" t="s">
        <v>34</v>
      </c>
      <c r="N5" s="81" t="s">
        <v>34</v>
      </c>
      <c r="O5" s="81" t="s">
        <v>34</v>
      </c>
      <c r="P5" s="81" t="s">
        <v>34</v>
      </c>
      <c r="Q5" s="81" t="s">
        <v>34</v>
      </c>
    </row>
    <row r="6" spans="1:17" ht="16.5">
      <c r="A6" s="81" t="s">
        <v>62</v>
      </c>
      <c r="B6" s="81">
        <v>1.2949999999999999</v>
      </c>
      <c r="C6" s="81">
        <v>1.27</v>
      </c>
      <c r="D6" s="81">
        <v>1.2410000000000001</v>
      </c>
      <c r="E6" s="81">
        <v>1.242</v>
      </c>
      <c r="F6" s="81">
        <v>1.2669999999999999</v>
      </c>
      <c r="G6" s="81">
        <v>1.292</v>
      </c>
      <c r="H6" s="81">
        <v>1.296</v>
      </c>
      <c r="I6" s="81">
        <v>1.3049999999999999</v>
      </c>
      <c r="J6" s="81">
        <v>1.3089999999999999</v>
      </c>
      <c r="K6" s="81">
        <v>1.3240000000000001</v>
      </c>
      <c r="L6" s="81">
        <v>1.341</v>
      </c>
      <c r="M6" s="81">
        <v>1.4670000000000001</v>
      </c>
      <c r="N6" s="81">
        <v>1.623</v>
      </c>
      <c r="O6" s="81">
        <v>1.681</v>
      </c>
      <c r="P6" s="81" t="s">
        <v>34</v>
      </c>
      <c r="Q6" s="81" t="s">
        <v>34</v>
      </c>
    </row>
    <row r="7" spans="1:17" ht="16.5">
      <c r="A7" s="81" t="s">
        <v>63</v>
      </c>
      <c r="B7" s="81">
        <v>1.3580000000000001</v>
      </c>
      <c r="C7" s="81">
        <v>1.327</v>
      </c>
      <c r="D7" s="81">
        <v>1.3029999999999999</v>
      </c>
      <c r="E7" s="81">
        <v>1.3029999999999999</v>
      </c>
      <c r="F7" s="81">
        <v>1.3280000000000001</v>
      </c>
      <c r="G7" s="81">
        <v>1.3520000000000001</v>
      </c>
      <c r="H7" s="81">
        <v>1.337</v>
      </c>
      <c r="I7" s="81">
        <v>1.3380000000000001</v>
      </c>
      <c r="J7" s="81">
        <v>1.3360000000000001</v>
      </c>
      <c r="K7" s="81">
        <v>1.341</v>
      </c>
      <c r="L7" s="81">
        <v>1.3320000000000001</v>
      </c>
      <c r="M7" s="81">
        <v>1.349</v>
      </c>
      <c r="N7" s="81">
        <v>1.3480000000000001</v>
      </c>
      <c r="O7" s="81">
        <v>1.3460000000000001</v>
      </c>
      <c r="P7" s="81" t="s">
        <v>34</v>
      </c>
      <c r="Q7" s="81" t="s">
        <v>34</v>
      </c>
    </row>
    <row r="8" spans="1:17" ht="16.5">
      <c r="A8" s="81" t="s">
        <v>196</v>
      </c>
      <c r="B8" s="81">
        <v>1.319</v>
      </c>
      <c r="C8" s="81">
        <v>1.2869999999999999</v>
      </c>
      <c r="D8" s="81">
        <v>1.264</v>
      </c>
      <c r="E8" s="81">
        <v>1.26</v>
      </c>
      <c r="F8" s="81">
        <v>1.288</v>
      </c>
      <c r="G8" s="81">
        <v>1.3129999999999999</v>
      </c>
      <c r="H8" s="81">
        <v>1.298</v>
      </c>
      <c r="I8" s="81">
        <v>1.3009999999999999</v>
      </c>
      <c r="J8" s="81">
        <v>1.3029999999999999</v>
      </c>
      <c r="K8" s="81">
        <v>1.3089999999999999</v>
      </c>
      <c r="L8" s="81">
        <v>1.3</v>
      </c>
      <c r="M8" s="81">
        <v>1.319</v>
      </c>
      <c r="N8" s="81">
        <v>1.3160000000000001</v>
      </c>
      <c r="O8" s="81">
        <v>1.3129999999999999</v>
      </c>
      <c r="P8" s="81" t="s">
        <v>34</v>
      </c>
      <c r="Q8" s="81" t="s">
        <v>34</v>
      </c>
    </row>
    <row r="9" spans="1:17" ht="16.5">
      <c r="A9" s="81" t="s">
        <v>96</v>
      </c>
      <c r="B9" s="81">
        <v>1.355</v>
      </c>
      <c r="C9" s="81">
        <v>1.321</v>
      </c>
      <c r="D9" s="81">
        <v>1.298</v>
      </c>
      <c r="E9" s="81">
        <v>1.296</v>
      </c>
      <c r="F9" s="81">
        <v>1.323</v>
      </c>
      <c r="G9" s="81">
        <v>1.3460000000000001</v>
      </c>
      <c r="H9" s="81">
        <v>1.331</v>
      </c>
      <c r="I9" s="81">
        <v>1.3320000000000001</v>
      </c>
      <c r="J9" s="81">
        <v>1.3320000000000001</v>
      </c>
      <c r="K9" s="81">
        <v>1.3360000000000001</v>
      </c>
      <c r="L9" s="81">
        <v>1.329</v>
      </c>
      <c r="M9" s="81">
        <v>1.347</v>
      </c>
      <c r="N9" s="81">
        <v>1.3440000000000001</v>
      </c>
      <c r="O9" s="81">
        <v>1.339</v>
      </c>
      <c r="P9" s="81">
        <v>1.3280000000000001</v>
      </c>
      <c r="Q9" s="81" t="s">
        <v>34</v>
      </c>
    </row>
    <row r="10" spans="1:17" ht="16.5">
      <c r="A10" s="81" t="s">
        <v>97</v>
      </c>
      <c r="B10" s="81">
        <v>1.385</v>
      </c>
      <c r="C10" s="81">
        <v>1.363</v>
      </c>
      <c r="D10" s="81">
        <v>1.34</v>
      </c>
      <c r="E10" s="81">
        <v>1.345</v>
      </c>
      <c r="F10" s="81">
        <v>1.3720000000000001</v>
      </c>
      <c r="G10" s="81">
        <v>1.3959999999999999</v>
      </c>
      <c r="H10" s="81">
        <v>1.3839999999999999</v>
      </c>
      <c r="I10" s="81">
        <v>1.387</v>
      </c>
      <c r="J10" s="81">
        <v>1.3919999999999999</v>
      </c>
      <c r="K10" s="81">
        <v>1.4279999999999999</v>
      </c>
      <c r="L10" s="81">
        <v>1.4670000000000001</v>
      </c>
      <c r="M10" s="81">
        <v>1.542</v>
      </c>
      <c r="N10" s="81">
        <v>1.55</v>
      </c>
      <c r="O10" s="81">
        <v>1.5529999999999999</v>
      </c>
      <c r="P10" s="81" t="s">
        <v>34</v>
      </c>
      <c r="Q10" s="81" t="s">
        <v>34</v>
      </c>
    </row>
    <row r="11" spans="1:17" ht="16.5">
      <c r="A11" s="81" t="s">
        <v>98</v>
      </c>
      <c r="B11" s="81">
        <v>1.4430000000000001</v>
      </c>
      <c r="C11" s="81">
        <v>1.421</v>
      </c>
      <c r="D11" s="81">
        <v>1.401</v>
      </c>
      <c r="E11" s="81">
        <v>1.41</v>
      </c>
      <c r="F11" s="81">
        <v>1.444</v>
      </c>
      <c r="G11" s="81">
        <v>1.47</v>
      </c>
      <c r="H11" s="81">
        <v>1.4590000000000001</v>
      </c>
      <c r="I11" s="81">
        <v>1.4650000000000001</v>
      </c>
      <c r="J11" s="81">
        <v>1.4790000000000001</v>
      </c>
      <c r="K11" s="81">
        <v>1.53</v>
      </c>
      <c r="L11" s="81">
        <v>1.573</v>
      </c>
      <c r="M11" s="81">
        <v>1.649</v>
      </c>
      <c r="N11" s="81">
        <v>1.698</v>
      </c>
      <c r="O11" s="81">
        <v>1.7050000000000001</v>
      </c>
      <c r="P11" s="81" t="s">
        <v>34</v>
      </c>
      <c r="Q11" s="81" t="s">
        <v>34</v>
      </c>
    </row>
    <row r="12" spans="1:17" ht="16.5">
      <c r="A12" s="81" t="s">
        <v>99</v>
      </c>
      <c r="B12" s="81">
        <v>1.5289999999999999</v>
      </c>
      <c r="C12" s="81">
        <v>1.5109999999999999</v>
      </c>
      <c r="D12" s="81">
        <v>1.4950000000000001</v>
      </c>
      <c r="E12" s="81">
        <v>1.508</v>
      </c>
      <c r="F12" s="81">
        <v>1.542</v>
      </c>
      <c r="G12" s="81">
        <v>1.575</v>
      </c>
      <c r="H12" s="81">
        <v>1.571</v>
      </c>
      <c r="I12" s="81">
        <v>1.581</v>
      </c>
      <c r="J12" s="81">
        <v>1.593</v>
      </c>
      <c r="K12" s="81">
        <v>1.6519999999999999</v>
      </c>
      <c r="L12" s="81">
        <v>1.6879999999999999</v>
      </c>
      <c r="M12" s="81">
        <v>1.7609999999999999</v>
      </c>
      <c r="N12" s="81">
        <v>1.8169999999999999</v>
      </c>
      <c r="O12" s="81">
        <v>1.825</v>
      </c>
      <c r="P12" s="81" t="s">
        <v>34</v>
      </c>
      <c r="Q12" s="81" t="s">
        <v>34</v>
      </c>
    </row>
    <row r="13" spans="1:17" ht="16.5">
      <c r="A13" s="81" t="s">
        <v>66</v>
      </c>
      <c r="B13" s="81">
        <v>1.272</v>
      </c>
      <c r="C13" s="81">
        <v>1.21</v>
      </c>
      <c r="D13" s="81">
        <v>1.169</v>
      </c>
      <c r="E13" s="81">
        <v>1.169</v>
      </c>
      <c r="F13" s="81">
        <v>1.19</v>
      </c>
      <c r="G13" s="81">
        <v>1.2</v>
      </c>
      <c r="H13" s="81" t="s">
        <v>34</v>
      </c>
      <c r="I13" s="81" t="s">
        <v>34</v>
      </c>
      <c r="J13" s="81" t="s">
        <v>34</v>
      </c>
      <c r="K13" s="81" t="s">
        <v>34</v>
      </c>
      <c r="L13" s="81" t="s">
        <v>34</v>
      </c>
      <c r="M13" s="81" t="s">
        <v>34</v>
      </c>
      <c r="N13" s="81" t="s">
        <v>34</v>
      </c>
      <c r="O13" s="81" t="s">
        <v>34</v>
      </c>
      <c r="P13" s="81" t="s">
        <v>34</v>
      </c>
      <c r="Q13" s="81" t="s">
        <v>34</v>
      </c>
    </row>
    <row r="14" spans="1:17" ht="16.5">
      <c r="A14" s="81" t="s">
        <v>67</v>
      </c>
      <c r="B14" s="81">
        <v>1.3879999999999999</v>
      </c>
      <c r="C14" s="81">
        <v>1.331</v>
      </c>
      <c r="D14" s="81">
        <v>1.292</v>
      </c>
      <c r="E14" s="81">
        <v>1.2929999999999999</v>
      </c>
      <c r="F14" s="81">
        <v>1.3129999999999999</v>
      </c>
      <c r="G14" s="81">
        <v>1.3220000000000001</v>
      </c>
      <c r="H14" s="81">
        <v>1.3140000000000001</v>
      </c>
      <c r="I14" s="81">
        <v>1.3180000000000001</v>
      </c>
      <c r="J14" s="81">
        <v>1.3220000000000001</v>
      </c>
      <c r="K14" s="81">
        <v>1.357</v>
      </c>
      <c r="L14" s="81">
        <v>1.3580000000000001</v>
      </c>
      <c r="M14" s="81">
        <v>1.405</v>
      </c>
      <c r="N14" s="81">
        <v>1.4239999999999999</v>
      </c>
      <c r="O14" s="81">
        <v>1.464</v>
      </c>
      <c r="P14" s="81" t="s">
        <v>34</v>
      </c>
      <c r="Q14" s="81" t="s">
        <v>34</v>
      </c>
    </row>
    <row r="15" spans="1:17" ht="16.5">
      <c r="A15" s="81" t="s">
        <v>68</v>
      </c>
      <c r="B15" s="81">
        <v>1.3879999999999999</v>
      </c>
      <c r="C15" s="81">
        <v>1.331</v>
      </c>
      <c r="D15" s="81">
        <v>1.292</v>
      </c>
      <c r="E15" s="81">
        <v>1.2929999999999999</v>
      </c>
      <c r="F15" s="81">
        <v>1.3129999999999999</v>
      </c>
      <c r="G15" s="81">
        <v>1.3220000000000001</v>
      </c>
      <c r="H15" s="81">
        <v>1.319</v>
      </c>
      <c r="I15" s="81">
        <v>1.325</v>
      </c>
      <c r="J15" s="81">
        <v>1.34</v>
      </c>
      <c r="K15" s="81">
        <v>1.3720000000000001</v>
      </c>
      <c r="L15" s="81">
        <v>1.3839999999999999</v>
      </c>
      <c r="M15" s="81">
        <v>1.44</v>
      </c>
      <c r="N15" s="81">
        <v>1.4590000000000001</v>
      </c>
      <c r="O15" s="81">
        <v>1.502</v>
      </c>
      <c r="P15" s="81" t="s">
        <v>34</v>
      </c>
      <c r="Q15" s="81" t="s">
        <v>34</v>
      </c>
    </row>
    <row r="16" spans="1:17" ht="16.5">
      <c r="A16" s="81" t="s">
        <v>100</v>
      </c>
      <c r="B16" s="81">
        <v>1.4079999999999999</v>
      </c>
      <c r="C16" s="81">
        <v>1.355</v>
      </c>
      <c r="D16" s="81">
        <v>1.3220000000000001</v>
      </c>
      <c r="E16" s="81">
        <v>1.329</v>
      </c>
      <c r="F16" s="81">
        <v>1.3520000000000001</v>
      </c>
      <c r="G16" s="81">
        <v>1.3660000000000001</v>
      </c>
      <c r="H16" s="81">
        <v>1.3580000000000001</v>
      </c>
      <c r="I16" s="81">
        <v>1.367</v>
      </c>
      <c r="J16" s="81">
        <v>1.369</v>
      </c>
      <c r="K16" s="81">
        <v>1.389</v>
      </c>
      <c r="L16" s="81">
        <v>1.4239999999999999</v>
      </c>
      <c r="M16" s="81">
        <v>1.4990000000000001</v>
      </c>
      <c r="N16" s="81">
        <v>1.5189999999999999</v>
      </c>
      <c r="O16" s="81">
        <v>1.571</v>
      </c>
      <c r="P16" s="81" t="s">
        <v>34</v>
      </c>
      <c r="Q16" s="81" t="s">
        <v>34</v>
      </c>
    </row>
    <row r="17" spans="1:17" ht="16.5">
      <c r="A17" s="81" t="s">
        <v>101</v>
      </c>
      <c r="B17" s="81">
        <v>1.4490000000000001</v>
      </c>
      <c r="C17" s="81">
        <v>1.401</v>
      </c>
      <c r="D17" s="81">
        <v>1.371</v>
      </c>
      <c r="E17" s="81">
        <v>1.3879999999999999</v>
      </c>
      <c r="F17" s="81">
        <v>1.415</v>
      </c>
      <c r="G17" s="81">
        <v>1.4370000000000001</v>
      </c>
      <c r="H17" s="81">
        <v>1.4350000000000001</v>
      </c>
      <c r="I17" s="81">
        <v>1.4430000000000001</v>
      </c>
      <c r="J17" s="81">
        <v>1.444</v>
      </c>
      <c r="K17" s="81">
        <v>1.4550000000000001</v>
      </c>
      <c r="L17" s="81">
        <v>1.4610000000000001</v>
      </c>
      <c r="M17" s="81">
        <v>1.546</v>
      </c>
      <c r="N17" s="81">
        <v>1.665</v>
      </c>
      <c r="O17" s="81">
        <v>1.764</v>
      </c>
      <c r="P17" s="81" t="s">
        <v>34</v>
      </c>
      <c r="Q17" s="81" t="s">
        <v>34</v>
      </c>
    </row>
    <row r="18" spans="1:17" ht="16.5">
      <c r="A18" s="81" t="s">
        <v>102</v>
      </c>
      <c r="B18" s="81">
        <v>1.6</v>
      </c>
      <c r="C18" s="81">
        <v>1.5589999999999999</v>
      </c>
      <c r="D18" s="81">
        <v>1.5309999999999999</v>
      </c>
      <c r="E18" s="81">
        <v>1.5649999999999999</v>
      </c>
      <c r="F18" s="81">
        <v>1.6040000000000001</v>
      </c>
      <c r="G18" s="81">
        <v>1.6459999999999999</v>
      </c>
      <c r="H18" s="81">
        <v>1.6739999999999999</v>
      </c>
      <c r="I18" s="81">
        <v>1.6930000000000001</v>
      </c>
      <c r="J18" s="81">
        <v>1.698</v>
      </c>
      <c r="K18" s="81">
        <v>1.756</v>
      </c>
      <c r="L18" s="81">
        <v>1.7869999999999999</v>
      </c>
      <c r="M18" s="81">
        <v>1.879</v>
      </c>
      <c r="N18" s="81">
        <v>2.0070000000000001</v>
      </c>
      <c r="O18" s="81">
        <v>2.1179999999999999</v>
      </c>
      <c r="P18" s="81" t="s">
        <v>34</v>
      </c>
      <c r="Q18" s="81" t="s">
        <v>34</v>
      </c>
    </row>
    <row r="19" spans="1:17" ht="16.5">
      <c r="A19" s="81" t="s">
        <v>103</v>
      </c>
      <c r="B19" s="81">
        <v>1.762</v>
      </c>
      <c r="C19" s="81">
        <v>1.792</v>
      </c>
      <c r="D19" s="81">
        <v>1.7829999999999999</v>
      </c>
      <c r="E19" s="81">
        <v>1.8340000000000001</v>
      </c>
      <c r="F19" s="81">
        <v>1.8640000000000001</v>
      </c>
      <c r="G19" s="81">
        <v>1.901</v>
      </c>
      <c r="H19" s="81">
        <v>1.911</v>
      </c>
      <c r="I19" s="81">
        <v>1.9370000000000001</v>
      </c>
      <c r="J19" s="81">
        <v>1.9419999999999999</v>
      </c>
      <c r="K19" s="81">
        <v>1.9890000000000001</v>
      </c>
      <c r="L19" s="81">
        <v>2.032</v>
      </c>
      <c r="M19" s="81">
        <v>2.19</v>
      </c>
      <c r="N19" s="81">
        <v>2.2429999999999999</v>
      </c>
      <c r="O19" s="81">
        <v>2.3380000000000001</v>
      </c>
      <c r="P19" s="81" t="s">
        <v>34</v>
      </c>
      <c r="Q19" s="81" t="s">
        <v>34</v>
      </c>
    </row>
    <row r="20" spans="1:17" ht="16.5">
      <c r="A20" s="81" t="s">
        <v>104</v>
      </c>
      <c r="B20" s="81">
        <v>1.851</v>
      </c>
      <c r="C20" s="81">
        <v>1.875</v>
      </c>
      <c r="D20" s="81">
        <v>1.8680000000000001</v>
      </c>
      <c r="E20" s="81">
        <v>1.921</v>
      </c>
      <c r="F20" s="81">
        <v>1.968</v>
      </c>
      <c r="G20" s="81">
        <v>2.0099999999999998</v>
      </c>
      <c r="H20" s="81">
        <v>2.0270000000000001</v>
      </c>
      <c r="I20" s="81">
        <v>2.0619999999999998</v>
      </c>
      <c r="J20" s="81">
        <v>2.073</v>
      </c>
      <c r="K20" s="81">
        <v>2.121</v>
      </c>
      <c r="L20" s="81">
        <v>2.1859999999999999</v>
      </c>
      <c r="M20" s="81">
        <v>2.367</v>
      </c>
      <c r="N20" s="81">
        <v>2.4529999999999998</v>
      </c>
      <c r="O20" s="81">
        <v>2.5470000000000002</v>
      </c>
      <c r="P20" s="81" t="s">
        <v>34</v>
      </c>
      <c r="Q20" s="81" t="s">
        <v>34</v>
      </c>
    </row>
    <row r="21" spans="1:17" ht="16.5">
      <c r="A21" s="81" t="s">
        <v>105</v>
      </c>
      <c r="B21" s="81">
        <v>1.94</v>
      </c>
      <c r="C21" s="81">
        <v>1.958</v>
      </c>
      <c r="D21" s="81">
        <v>1.9450000000000001</v>
      </c>
      <c r="E21" s="81">
        <v>2.016</v>
      </c>
      <c r="F21" s="81">
        <v>2.069</v>
      </c>
      <c r="G21" s="81">
        <v>2.113</v>
      </c>
      <c r="H21" s="81">
        <v>2.129</v>
      </c>
      <c r="I21" s="81">
        <v>2.1680000000000001</v>
      </c>
      <c r="J21" s="81">
        <v>2.1800000000000002</v>
      </c>
      <c r="K21" s="81">
        <v>2.246</v>
      </c>
      <c r="L21" s="81">
        <v>2.3119999999999998</v>
      </c>
      <c r="M21" s="81">
        <v>2.5110000000000001</v>
      </c>
      <c r="N21" s="81">
        <v>2.5880000000000001</v>
      </c>
      <c r="O21" s="81">
        <v>2.6869999999999998</v>
      </c>
      <c r="P21" s="81" t="s">
        <v>34</v>
      </c>
      <c r="Q21" s="81" t="s">
        <v>34</v>
      </c>
    </row>
    <row r="22" spans="1:17" ht="16.5">
      <c r="A22" s="81" t="s">
        <v>106</v>
      </c>
      <c r="B22" s="81">
        <v>2.024</v>
      </c>
      <c r="C22" s="81">
        <v>2.0539999999999998</v>
      </c>
      <c r="D22" s="81">
        <v>2.0489999999999999</v>
      </c>
      <c r="E22" s="81">
        <v>2.097</v>
      </c>
      <c r="F22" s="81">
        <v>2.157</v>
      </c>
      <c r="G22" s="81">
        <v>2.202</v>
      </c>
      <c r="H22" s="81">
        <v>2.2109999999999999</v>
      </c>
      <c r="I22" s="81">
        <v>2.2480000000000002</v>
      </c>
      <c r="J22" s="81">
        <v>2.2669999999999999</v>
      </c>
      <c r="K22" s="81">
        <v>2.331</v>
      </c>
      <c r="L22" s="81">
        <v>2.4079999999999999</v>
      </c>
      <c r="M22" s="81">
        <v>2.6179999999999999</v>
      </c>
      <c r="N22" s="81">
        <v>2.722</v>
      </c>
      <c r="O22" s="81">
        <v>2.839</v>
      </c>
      <c r="P22" s="81" t="s">
        <v>34</v>
      </c>
      <c r="Q22" s="81" t="s">
        <v>34</v>
      </c>
    </row>
    <row r="23" spans="1:17" ht="16.5">
      <c r="A23" s="81" t="s">
        <v>158</v>
      </c>
      <c r="B23" s="81">
        <v>1.492</v>
      </c>
      <c r="C23" s="81">
        <v>1.4750000000000001</v>
      </c>
      <c r="D23" s="81">
        <v>1.4410000000000001</v>
      </c>
      <c r="E23" s="81">
        <v>1.4379999999999999</v>
      </c>
      <c r="F23" s="81">
        <v>1.482</v>
      </c>
      <c r="G23" s="81">
        <v>1.4990000000000001</v>
      </c>
      <c r="H23" s="81">
        <v>1.4850000000000001</v>
      </c>
      <c r="I23" s="81">
        <v>1.4910000000000001</v>
      </c>
      <c r="J23" s="81">
        <v>1.488</v>
      </c>
      <c r="K23" s="81">
        <v>1.5309999999999999</v>
      </c>
      <c r="L23" s="81">
        <v>1.6140000000000001</v>
      </c>
      <c r="M23" s="81">
        <v>1.913</v>
      </c>
      <c r="N23" s="81">
        <v>2.1859999999999999</v>
      </c>
      <c r="O23" s="81">
        <v>2.2789999999999999</v>
      </c>
      <c r="P23" s="81" t="s">
        <v>34</v>
      </c>
      <c r="Q23" s="81" t="s">
        <v>34</v>
      </c>
    </row>
    <row r="24" spans="1:17" ht="16.5">
      <c r="A24" s="81" t="s">
        <v>107</v>
      </c>
      <c r="B24" s="81">
        <v>1.5169999999999999</v>
      </c>
      <c r="C24" s="81">
        <v>1.492</v>
      </c>
      <c r="D24" s="81">
        <v>1.46</v>
      </c>
      <c r="E24" s="81">
        <v>1.452</v>
      </c>
      <c r="F24" s="81">
        <v>1.496</v>
      </c>
      <c r="G24" s="81">
        <v>1.512</v>
      </c>
      <c r="H24" s="81">
        <v>1.502</v>
      </c>
      <c r="I24" s="81">
        <v>1.518</v>
      </c>
      <c r="J24" s="81">
        <v>1.524</v>
      </c>
      <c r="K24" s="81">
        <v>1.677</v>
      </c>
      <c r="L24" s="81">
        <v>1.821</v>
      </c>
      <c r="M24" s="81">
        <v>2.15</v>
      </c>
      <c r="N24" s="81">
        <v>2.46</v>
      </c>
      <c r="O24" s="81">
        <v>2.5550000000000002</v>
      </c>
      <c r="P24" s="81" t="s">
        <v>34</v>
      </c>
      <c r="Q24" s="81" t="s">
        <v>34</v>
      </c>
    </row>
    <row r="25" spans="1:17" ht="16.5">
      <c r="A25" s="81" t="s">
        <v>108</v>
      </c>
      <c r="B25" s="81">
        <v>1.552</v>
      </c>
      <c r="C25" s="81">
        <v>1.5269999999999999</v>
      </c>
      <c r="D25" s="81">
        <v>1.4950000000000001</v>
      </c>
      <c r="E25" s="81">
        <v>1.4950000000000001</v>
      </c>
      <c r="F25" s="81">
        <v>1.5569999999999999</v>
      </c>
      <c r="G25" s="81">
        <v>1.5860000000000001</v>
      </c>
      <c r="H25" s="81">
        <v>1.581</v>
      </c>
      <c r="I25" s="81">
        <v>1.5960000000000001</v>
      </c>
      <c r="J25" s="81">
        <v>1.63</v>
      </c>
      <c r="K25" s="81">
        <v>1.8</v>
      </c>
      <c r="L25" s="81">
        <v>1.9930000000000001</v>
      </c>
      <c r="M25" s="81">
        <v>2.3889999999999998</v>
      </c>
      <c r="N25" s="81">
        <v>2.6869999999999998</v>
      </c>
      <c r="O25" s="81">
        <v>2.7869999999999999</v>
      </c>
      <c r="P25" s="81" t="s">
        <v>34</v>
      </c>
      <c r="Q25" s="81" t="s">
        <v>34</v>
      </c>
    </row>
    <row r="26" spans="1:17" ht="16.5">
      <c r="A26" s="81" t="s">
        <v>109</v>
      </c>
      <c r="B26" s="81">
        <v>1.615</v>
      </c>
      <c r="C26" s="81">
        <v>1.6</v>
      </c>
      <c r="D26" s="81">
        <v>1.5720000000000001</v>
      </c>
      <c r="E26" s="81">
        <v>1.5940000000000001</v>
      </c>
      <c r="F26" s="81">
        <v>1.64</v>
      </c>
      <c r="G26" s="81">
        <v>1.704</v>
      </c>
      <c r="H26" s="81">
        <v>1.736</v>
      </c>
      <c r="I26" s="81">
        <v>1.8640000000000001</v>
      </c>
      <c r="J26" s="81">
        <v>1.998</v>
      </c>
      <c r="K26" s="81">
        <v>2.1560000000000001</v>
      </c>
      <c r="L26" s="81">
        <v>2.4849999999999999</v>
      </c>
      <c r="M26" s="81">
        <v>2.8540000000000001</v>
      </c>
      <c r="N26" s="81">
        <v>3.113</v>
      </c>
      <c r="O26" s="81">
        <v>3.1970000000000001</v>
      </c>
      <c r="P26" s="81" t="s">
        <v>34</v>
      </c>
      <c r="Q26" s="81" t="s">
        <v>34</v>
      </c>
    </row>
    <row r="27" spans="1:17" ht="16.5">
      <c r="A27" s="81" t="s">
        <v>110</v>
      </c>
      <c r="B27" s="81">
        <v>1.8260000000000001</v>
      </c>
      <c r="C27" s="81">
        <v>1.8120000000000001</v>
      </c>
      <c r="D27" s="81">
        <v>1.784</v>
      </c>
      <c r="E27" s="81">
        <v>1.7869999999999999</v>
      </c>
      <c r="F27" s="81">
        <v>1.8260000000000001</v>
      </c>
      <c r="G27" s="81">
        <v>1.958</v>
      </c>
      <c r="H27" s="81">
        <v>2.101</v>
      </c>
      <c r="I27" s="81">
        <v>2.2069999999999999</v>
      </c>
      <c r="J27" s="81">
        <v>2.4049999999999998</v>
      </c>
      <c r="K27" s="81">
        <v>2.5840000000000001</v>
      </c>
      <c r="L27" s="81">
        <v>2.8279999999999998</v>
      </c>
      <c r="M27" s="81">
        <v>3.1320000000000001</v>
      </c>
      <c r="N27" s="81">
        <v>3.3660000000000001</v>
      </c>
      <c r="O27" s="81">
        <v>3.4460000000000002</v>
      </c>
      <c r="P27" s="81" t="s">
        <v>34</v>
      </c>
      <c r="Q27" s="81" t="s">
        <v>34</v>
      </c>
    </row>
    <row r="28" spans="1:17" ht="16.5">
      <c r="A28" s="81" t="s">
        <v>111</v>
      </c>
      <c r="B28" s="81">
        <v>2.4460000000000002</v>
      </c>
      <c r="C28" s="81">
        <v>2.5579999999999998</v>
      </c>
      <c r="D28" s="81">
        <v>2.5369999999999999</v>
      </c>
      <c r="E28" s="81">
        <v>2.54</v>
      </c>
      <c r="F28" s="81">
        <v>2.581</v>
      </c>
      <c r="G28" s="81">
        <v>2.661</v>
      </c>
      <c r="H28" s="81">
        <v>2.839</v>
      </c>
      <c r="I28" s="81">
        <v>2.9460000000000002</v>
      </c>
      <c r="J28" s="81">
        <v>3.1240000000000001</v>
      </c>
      <c r="K28" s="81">
        <v>3.278</v>
      </c>
      <c r="L28" s="81">
        <v>3.5089999999999999</v>
      </c>
      <c r="M28" s="81">
        <v>3.6560000000000001</v>
      </c>
      <c r="N28" s="81">
        <v>3.8330000000000002</v>
      </c>
      <c r="O28" s="81">
        <v>3.8969999999999998</v>
      </c>
      <c r="P28" s="81" t="s">
        <v>34</v>
      </c>
      <c r="Q28" s="81" t="s">
        <v>34</v>
      </c>
    </row>
    <row r="29" spans="1:17" ht="16.5">
      <c r="A29" s="81" t="s">
        <v>112</v>
      </c>
      <c r="B29" s="81">
        <v>3.1819999999999999</v>
      </c>
      <c r="C29" s="81">
        <v>3.464</v>
      </c>
      <c r="D29" s="81">
        <v>3.5379999999999998</v>
      </c>
      <c r="E29" s="81">
        <v>3.6720000000000002</v>
      </c>
      <c r="F29" s="81">
        <v>3.722</v>
      </c>
      <c r="G29" s="81">
        <v>3.99</v>
      </c>
      <c r="H29" s="81">
        <v>4.2409999999999997</v>
      </c>
      <c r="I29" s="81">
        <v>4.3730000000000002</v>
      </c>
      <c r="J29" s="81">
        <v>4.4550000000000001</v>
      </c>
      <c r="K29" s="81">
        <v>4.6120000000000001</v>
      </c>
      <c r="L29" s="81">
        <v>4.75</v>
      </c>
      <c r="M29" s="81">
        <v>5.1429999999999998</v>
      </c>
      <c r="N29" s="81">
        <v>5.4130000000000003</v>
      </c>
      <c r="O29" s="81">
        <v>5.6390000000000002</v>
      </c>
      <c r="P29" s="81" t="s">
        <v>34</v>
      </c>
      <c r="Q29" s="81" t="s">
        <v>34</v>
      </c>
    </row>
    <row r="30" spans="1:17" ht="16.5">
      <c r="A30" s="81" t="s">
        <v>113</v>
      </c>
      <c r="B30" s="81">
        <v>3.8159999999999998</v>
      </c>
      <c r="C30" s="81">
        <v>4.1639999999999997</v>
      </c>
      <c r="D30" s="81">
        <v>4.2450000000000001</v>
      </c>
      <c r="E30" s="81">
        <v>4.4189999999999996</v>
      </c>
      <c r="F30" s="81">
        <v>4.5270000000000001</v>
      </c>
      <c r="G30" s="81">
        <v>4.8120000000000003</v>
      </c>
      <c r="H30" s="81">
        <v>5.0979999999999999</v>
      </c>
      <c r="I30" s="81">
        <v>5.2850000000000001</v>
      </c>
      <c r="J30" s="81">
        <v>5.3879999999999999</v>
      </c>
      <c r="K30" s="81">
        <v>5.66</v>
      </c>
      <c r="L30" s="81">
        <v>5.9560000000000004</v>
      </c>
      <c r="M30" s="81">
        <v>6.4720000000000004</v>
      </c>
      <c r="N30" s="81">
        <v>6.8220000000000001</v>
      </c>
      <c r="O30" s="81">
        <v>7.1150000000000002</v>
      </c>
      <c r="P30" s="81" t="s">
        <v>34</v>
      </c>
      <c r="Q30" s="81" t="s">
        <v>34</v>
      </c>
    </row>
    <row r="31" spans="1:17" ht="16.5">
      <c r="A31" s="81" t="s">
        <v>114</v>
      </c>
      <c r="B31" s="81">
        <v>5.1139999999999999</v>
      </c>
      <c r="C31" s="81">
        <v>5.5030000000000001</v>
      </c>
      <c r="D31" s="81">
        <v>5.6070000000000002</v>
      </c>
      <c r="E31" s="81">
        <v>5.7450000000000001</v>
      </c>
      <c r="F31" s="81">
        <v>5.859</v>
      </c>
      <c r="G31" s="81">
        <v>6.165</v>
      </c>
      <c r="H31" s="81">
        <v>6.4450000000000003</v>
      </c>
      <c r="I31" s="81">
        <v>6.64</v>
      </c>
      <c r="J31" s="81">
        <v>6.7619999999999996</v>
      </c>
      <c r="K31" s="81">
        <v>7.0670000000000002</v>
      </c>
      <c r="L31" s="81">
        <v>7.3239999999999998</v>
      </c>
      <c r="M31" s="81">
        <v>7.8040000000000003</v>
      </c>
      <c r="N31" s="81">
        <v>8.1129999999999995</v>
      </c>
      <c r="O31" s="81">
        <v>8.3889999999999993</v>
      </c>
      <c r="P31" s="81" t="s">
        <v>34</v>
      </c>
      <c r="Q31" s="81" t="s">
        <v>34</v>
      </c>
    </row>
    <row r="32" spans="1:17" ht="16.5">
      <c r="A32" s="81" t="s">
        <v>162</v>
      </c>
      <c r="B32" s="81">
        <v>1.492</v>
      </c>
      <c r="C32" s="81">
        <v>1.4750000000000001</v>
      </c>
      <c r="D32" s="81">
        <v>1.4410000000000001</v>
      </c>
      <c r="E32" s="81">
        <v>1.4379999999999999</v>
      </c>
      <c r="F32" s="81">
        <v>1.482</v>
      </c>
      <c r="G32" s="81">
        <v>1.4990000000000001</v>
      </c>
      <c r="H32" s="81">
        <v>1.4850000000000001</v>
      </c>
      <c r="I32" s="81">
        <v>1.4910000000000001</v>
      </c>
      <c r="J32" s="81">
        <v>1.488</v>
      </c>
      <c r="K32" s="81">
        <v>1.5309999999999999</v>
      </c>
      <c r="L32" s="81">
        <v>1.6140000000000001</v>
      </c>
      <c r="M32" s="81">
        <v>1.913</v>
      </c>
      <c r="N32" s="81">
        <v>2.1859999999999999</v>
      </c>
      <c r="O32" s="81">
        <v>2.2789999999999999</v>
      </c>
      <c r="P32" s="81" t="s">
        <v>34</v>
      </c>
      <c r="Q32" s="81" t="s">
        <v>34</v>
      </c>
    </row>
    <row r="33" spans="1:17" ht="16.5">
      <c r="A33" s="81" t="s">
        <v>115</v>
      </c>
      <c r="B33" s="81">
        <v>1.5169999999999999</v>
      </c>
      <c r="C33" s="81">
        <v>1.492</v>
      </c>
      <c r="D33" s="81">
        <v>1.46</v>
      </c>
      <c r="E33" s="81">
        <v>1.452</v>
      </c>
      <c r="F33" s="81">
        <v>1.496</v>
      </c>
      <c r="G33" s="81">
        <v>1.512</v>
      </c>
      <c r="H33" s="81">
        <v>1.502</v>
      </c>
      <c r="I33" s="81">
        <v>1.518</v>
      </c>
      <c r="J33" s="81">
        <v>1.524</v>
      </c>
      <c r="K33" s="81">
        <v>1.677</v>
      </c>
      <c r="L33" s="81">
        <v>1.821</v>
      </c>
      <c r="M33" s="81">
        <v>2.15</v>
      </c>
      <c r="N33" s="81">
        <v>2.46</v>
      </c>
      <c r="O33" s="81">
        <v>2.5550000000000002</v>
      </c>
      <c r="P33" s="81" t="s">
        <v>34</v>
      </c>
      <c r="Q33" s="81" t="s">
        <v>34</v>
      </c>
    </row>
    <row r="34" spans="1:17" ht="16.5">
      <c r="A34" s="81" t="s">
        <v>116</v>
      </c>
      <c r="B34" s="81">
        <v>1.552</v>
      </c>
      <c r="C34" s="81">
        <v>1.5269999999999999</v>
      </c>
      <c r="D34" s="81">
        <v>1.4950000000000001</v>
      </c>
      <c r="E34" s="81">
        <v>1.4950000000000001</v>
      </c>
      <c r="F34" s="81">
        <v>1.5569999999999999</v>
      </c>
      <c r="G34" s="81">
        <v>1.5860000000000001</v>
      </c>
      <c r="H34" s="81">
        <v>1.581</v>
      </c>
      <c r="I34" s="81">
        <v>1.5960000000000001</v>
      </c>
      <c r="J34" s="81">
        <v>1.63</v>
      </c>
      <c r="K34" s="81">
        <v>1.8</v>
      </c>
      <c r="L34" s="81">
        <v>1.9930000000000001</v>
      </c>
      <c r="M34" s="81">
        <v>2.3889999999999998</v>
      </c>
      <c r="N34" s="81">
        <v>2.6869999999999998</v>
      </c>
      <c r="O34" s="81">
        <v>2.7869999999999999</v>
      </c>
      <c r="P34" s="81" t="s">
        <v>34</v>
      </c>
      <c r="Q34" s="81" t="s">
        <v>34</v>
      </c>
    </row>
    <row r="35" spans="1:17" ht="16.5">
      <c r="A35" s="81" t="s">
        <v>117</v>
      </c>
      <c r="B35" s="81">
        <v>1.615</v>
      </c>
      <c r="C35" s="81">
        <v>1.6</v>
      </c>
      <c r="D35" s="81">
        <v>1.5720000000000001</v>
      </c>
      <c r="E35" s="81">
        <v>1.5940000000000001</v>
      </c>
      <c r="F35" s="81">
        <v>1.64</v>
      </c>
      <c r="G35" s="81">
        <v>1.704</v>
      </c>
      <c r="H35" s="81">
        <v>1.736</v>
      </c>
      <c r="I35" s="81">
        <v>1.8640000000000001</v>
      </c>
      <c r="J35" s="81">
        <v>1.998</v>
      </c>
      <c r="K35" s="81">
        <v>2.1560000000000001</v>
      </c>
      <c r="L35" s="81">
        <v>2.4849999999999999</v>
      </c>
      <c r="M35" s="81">
        <v>2.8540000000000001</v>
      </c>
      <c r="N35" s="81">
        <v>3.113</v>
      </c>
      <c r="O35" s="81">
        <v>3.1970000000000001</v>
      </c>
      <c r="P35" s="81" t="s">
        <v>34</v>
      </c>
      <c r="Q35" s="81" t="s">
        <v>34</v>
      </c>
    </row>
    <row r="36" spans="1:17" ht="16.5">
      <c r="A36" s="81" t="s">
        <v>118</v>
      </c>
      <c r="B36" s="81">
        <v>1.8260000000000001</v>
      </c>
      <c r="C36" s="81">
        <v>1.8120000000000001</v>
      </c>
      <c r="D36" s="81">
        <v>1.784</v>
      </c>
      <c r="E36" s="81">
        <v>1.7869999999999999</v>
      </c>
      <c r="F36" s="81">
        <v>1.8260000000000001</v>
      </c>
      <c r="G36" s="81">
        <v>1.958</v>
      </c>
      <c r="H36" s="81">
        <v>2.101</v>
      </c>
      <c r="I36" s="81">
        <v>2.2069999999999999</v>
      </c>
      <c r="J36" s="81">
        <v>2.4049999999999998</v>
      </c>
      <c r="K36" s="81">
        <v>2.5840000000000001</v>
      </c>
      <c r="L36" s="81">
        <v>2.8279999999999998</v>
      </c>
      <c r="M36" s="81">
        <v>3.1320000000000001</v>
      </c>
      <c r="N36" s="81">
        <v>3.3660000000000001</v>
      </c>
      <c r="O36" s="81">
        <v>3.4460000000000002</v>
      </c>
      <c r="P36" s="81" t="s">
        <v>34</v>
      </c>
      <c r="Q36" s="81" t="s">
        <v>34</v>
      </c>
    </row>
    <row r="37" spans="1:17" ht="16.5">
      <c r="A37" s="81" t="s">
        <v>119</v>
      </c>
      <c r="B37" s="81">
        <v>2.4460000000000002</v>
      </c>
      <c r="C37" s="81">
        <v>2.5579999999999998</v>
      </c>
      <c r="D37" s="81">
        <v>2.5369999999999999</v>
      </c>
      <c r="E37" s="81">
        <v>2.54</v>
      </c>
      <c r="F37" s="81">
        <v>2.581</v>
      </c>
      <c r="G37" s="81">
        <v>2.661</v>
      </c>
      <c r="H37" s="81">
        <v>2.839</v>
      </c>
      <c r="I37" s="81">
        <v>2.9460000000000002</v>
      </c>
      <c r="J37" s="81">
        <v>3.1240000000000001</v>
      </c>
      <c r="K37" s="81">
        <v>3.278</v>
      </c>
      <c r="L37" s="81">
        <v>3.5089999999999999</v>
      </c>
      <c r="M37" s="81">
        <v>3.6560000000000001</v>
      </c>
      <c r="N37" s="81">
        <v>3.8330000000000002</v>
      </c>
      <c r="O37" s="81">
        <v>3.8969999999999998</v>
      </c>
      <c r="P37" s="81" t="s">
        <v>34</v>
      </c>
      <c r="Q37" s="81" t="s">
        <v>34</v>
      </c>
    </row>
    <row r="38" spans="1:17" ht="16.5">
      <c r="A38" s="81" t="s">
        <v>120</v>
      </c>
      <c r="B38" s="81">
        <v>3.194</v>
      </c>
      <c r="C38" s="81">
        <v>3.4460000000000002</v>
      </c>
      <c r="D38" s="81">
        <v>3.5019999999999998</v>
      </c>
      <c r="E38" s="81">
        <v>3.6219999999999999</v>
      </c>
      <c r="F38" s="81">
        <v>3.6720000000000002</v>
      </c>
      <c r="G38" s="81">
        <v>3.9550000000000001</v>
      </c>
      <c r="H38" s="81">
        <v>4.2770000000000001</v>
      </c>
      <c r="I38" s="81">
        <v>4.444</v>
      </c>
      <c r="J38" s="81">
        <v>4.5250000000000004</v>
      </c>
      <c r="K38" s="81">
        <v>4.7009999999999996</v>
      </c>
      <c r="L38" s="81">
        <v>4.8319999999999999</v>
      </c>
      <c r="M38" s="81">
        <v>5.2119999999999997</v>
      </c>
      <c r="N38" s="81">
        <v>5.4820000000000002</v>
      </c>
      <c r="O38" s="81">
        <v>5.7160000000000002</v>
      </c>
      <c r="P38" s="81" t="s">
        <v>34</v>
      </c>
      <c r="Q38" s="81" t="s">
        <v>34</v>
      </c>
    </row>
    <row r="39" spans="1:17" ht="16.5">
      <c r="A39" s="81" t="s">
        <v>121</v>
      </c>
      <c r="B39" s="81">
        <v>3.8130000000000002</v>
      </c>
      <c r="C39" s="81">
        <v>4.149</v>
      </c>
      <c r="D39" s="81">
        <v>4.2089999999999996</v>
      </c>
      <c r="E39" s="81">
        <v>4.3760000000000003</v>
      </c>
      <c r="F39" s="81">
        <v>4.4790000000000001</v>
      </c>
      <c r="G39" s="81">
        <v>4.7869999999999999</v>
      </c>
      <c r="H39" s="81">
        <v>5.133</v>
      </c>
      <c r="I39" s="81">
        <v>5.3609999999999998</v>
      </c>
      <c r="J39" s="81">
        <v>5.4459999999999997</v>
      </c>
      <c r="K39" s="81">
        <v>5.7329999999999997</v>
      </c>
      <c r="L39" s="81">
        <v>5.9829999999999997</v>
      </c>
      <c r="M39" s="81">
        <v>6.5170000000000003</v>
      </c>
      <c r="N39" s="81">
        <v>6.8819999999999997</v>
      </c>
      <c r="O39" s="81">
        <v>7.218</v>
      </c>
      <c r="P39" s="81" t="s">
        <v>34</v>
      </c>
      <c r="Q39" s="81" t="s">
        <v>34</v>
      </c>
    </row>
    <row r="40" spans="1:17" ht="16.5">
      <c r="A40" s="81" t="s">
        <v>122</v>
      </c>
      <c r="B40" s="81">
        <v>5.2089999999999996</v>
      </c>
      <c r="C40" s="81">
        <v>5.5330000000000004</v>
      </c>
      <c r="D40" s="81">
        <v>5.6280000000000001</v>
      </c>
      <c r="E40" s="81">
        <v>5.74</v>
      </c>
      <c r="F40" s="81">
        <v>5.8520000000000003</v>
      </c>
      <c r="G40" s="81">
        <v>6.1920000000000002</v>
      </c>
      <c r="H40" s="81">
        <v>6.5279999999999996</v>
      </c>
      <c r="I40" s="81">
        <v>6.7679999999999998</v>
      </c>
      <c r="J40" s="81">
        <v>6.883</v>
      </c>
      <c r="K40" s="81">
        <v>7.218</v>
      </c>
      <c r="L40" s="81">
        <v>7.41</v>
      </c>
      <c r="M40" s="81">
        <v>7.8890000000000002</v>
      </c>
      <c r="N40" s="81">
        <v>8.1940000000000008</v>
      </c>
      <c r="O40" s="81">
        <v>8.5229999999999997</v>
      </c>
      <c r="P40" s="81" t="s">
        <v>34</v>
      </c>
      <c r="Q40" s="81" t="s">
        <v>34</v>
      </c>
    </row>
    <row r="41" spans="1:17" ht="16.5">
      <c r="A41" s="81" t="s">
        <v>123</v>
      </c>
      <c r="B41" s="81">
        <v>1.3580000000000001</v>
      </c>
      <c r="C41" s="81">
        <v>1.3680000000000001</v>
      </c>
      <c r="D41" s="81">
        <v>1.381</v>
      </c>
      <c r="E41" s="81">
        <v>1.4</v>
      </c>
      <c r="F41" s="81">
        <v>1.425</v>
      </c>
      <c r="G41" s="81">
        <v>1.4550000000000001</v>
      </c>
      <c r="H41" s="81">
        <v>1.4530000000000001</v>
      </c>
      <c r="I41" s="81">
        <v>1.4570000000000001</v>
      </c>
      <c r="J41" s="81">
        <v>1.4570000000000001</v>
      </c>
      <c r="K41" s="81">
        <v>1.46</v>
      </c>
      <c r="L41" s="81">
        <v>1.45</v>
      </c>
      <c r="M41" s="81">
        <v>1.514</v>
      </c>
      <c r="N41" s="81">
        <v>1.593</v>
      </c>
      <c r="O41" s="81">
        <v>1.7070000000000001</v>
      </c>
      <c r="P41" s="81" t="s">
        <v>34</v>
      </c>
      <c r="Q41" s="81" t="s">
        <v>34</v>
      </c>
    </row>
    <row r="42" spans="1:17" ht="16.5">
      <c r="A42" s="81" t="s">
        <v>124</v>
      </c>
      <c r="B42" s="81">
        <v>1.3879999999999999</v>
      </c>
      <c r="C42" s="81">
        <v>1.3919999999999999</v>
      </c>
      <c r="D42" s="81">
        <v>1.405</v>
      </c>
      <c r="E42" s="81">
        <v>1.4239999999999999</v>
      </c>
      <c r="F42" s="81">
        <v>1.4450000000000001</v>
      </c>
      <c r="G42" s="81">
        <v>1.476</v>
      </c>
      <c r="H42" s="81">
        <v>1.476</v>
      </c>
      <c r="I42" s="81">
        <v>1.48</v>
      </c>
      <c r="J42" s="81">
        <v>1.4810000000000001</v>
      </c>
      <c r="K42" s="81">
        <v>1.5109999999999999</v>
      </c>
      <c r="L42" s="81">
        <v>1.585</v>
      </c>
      <c r="M42" s="81">
        <v>1.7869999999999999</v>
      </c>
      <c r="N42" s="81">
        <v>1.9910000000000001</v>
      </c>
      <c r="O42" s="81">
        <v>2.0939999999999999</v>
      </c>
      <c r="P42" s="81" t="s">
        <v>34</v>
      </c>
      <c r="Q42" s="81" t="s">
        <v>34</v>
      </c>
    </row>
    <row r="43" spans="1:17" ht="16.5">
      <c r="A43" s="81" t="s">
        <v>125</v>
      </c>
      <c r="B43" s="81">
        <v>1.4370000000000001</v>
      </c>
      <c r="C43" s="81">
        <v>1.4350000000000001</v>
      </c>
      <c r="D43" s="81">
        <v>1.4470000000000001</v>
      </c>
      <c r="E43" s="81">
        <v>1.4590000000000001</v>
      </c>
      <c r="F43" s="81">
        <v>1.4810000000000001</v>
      </c>
      <c r="G43" s="81">
        <v>1.512</v>
      </c>
      <c r="H43" s="81">
        <v>1.512</v>
      </c>
      <c r="I43" s="81">
        <v>1.5169999999999999</v>
      </c>
      <c r="J43" s="81">
        <v>1.5209999999999999</v>
      </c>
      <c r="K43" s="81">
        <v>1.5720000000000001</v>
      </c>
      <c r="L43" s="81">
        <v>1.74</v>
      </c>
      <c r="M43" s="81">
        <v>2.177</v>
      </c>
      <c r="N43" s="81">
        <v>2.6160000000000001</v>
      </c>
      <c r="O43" s="81">
        <v>2.7240000000000002</v>
      </c>
      <c r="P43" s="81" t="s">
        <v>34</v>
      </c>
      <c r="Q43" s="81" t="s">
        <v>34</v>
      </c>
    </row>
    <row r="44" spans="1:17" ht="16.5">
      <c r="A44" s="81" t="s">
        <v>126</v>
      </c>
      <c r="B44" s="81">
        <v>1.4630000000000001</v>
      </c>
      <c r="C44" s="81">
        <v>1.4610000000000001</v>
      </c>
      <c r="D44" s="81">
        <v>1.4730000000000001</v>
      </c>
      <c r="E44" s="81">
        <v>1.4870000000000001</v>
      </c>
      <c r="F44" s="81">
        <v>1.5089999999999999</v>
      </c>
      <c r="G44" s="81">
        <v>1.5369999999999999</v>
      </c>
      <c r="H44" s="81">
        <v>1.5349999999999999</v>
      </c>
      <c r="I44" s="81">
        <v>1.5389999999999999</v>
      </c>
      <c r="J44" s="81">
        <v>1.5880000000000001</v>
      </c>
      <c r="K44" s="81">
        <v>1.681</v>
      </c>
      <c r="L44" s="81">
        <v>1.948</v>
      </c>
      <c r="M44" s="81">
        <v>2.52</v>
      </c>
      <c r="N44" s="81">
        <v>3.1059999999999999</v>
      </c>
      <c r="O44" s="81">
        <v>3.2639999999999998</v>
      </c>
      <c r="P44" s="81" t="s">
        <v>34</v>
      </c>
      <c r="Q44" s="81" t="s">
        <v>34</v>
      </c>
    </row>
    <row r="45" spans="1:17" ht="16.5">
      <c r="A45" s="81" t="s">
        <v>127</v>
      </c>
      <c r="B45" s="81">
        <v>1.5229999999999999</v>
      </c>
      <c r="C45" s="81">
        <v>1.526</v>
      </c>
      <c r="D45" s="81">
        <v>1.5309999999999999</v>
      </c>
      <c r="E45" s="81">
        <v>1.5369999999999999</v>
      </c>
      <c r="F45" s="81">
        <v>1.571</v>
      </c>
      <c r="G45" s="81">
        <v>1.603</v>
      </c>
      <c r="H45" s="81">
        <v>1.613</v>
      </c>
      <c r="I45" s="81">
        <v>1.7170000000000001</v>
      </c>
      <c r="J45" s="81">
        <v>1.83</v>
      </c>
      <c r="K45" s="81">
        <v>2.0579999999999998</v>
      </c>
      <c r="L45" s="81">
        <v>2.347</v>
      </c>
      <c r="M45" s="81">
        <v>2.9369999999999998</v>
      </c>
      <c r="N45" s="81">
        <v>3.4239999999999999</v>
      </c>
      <c r="O45" s="81">
        <v>3.6139999999999999</v>
      </c>
      <c r="P45" s="81" t="s">
        <v>34</v>
      </c>
      <c r="Q45" s="81" t="s">
        <v>34</v>
      </c>
    </row>
    <row r="46" spans="1:17" ht="16.5">
      <c r="A46" s="81" t="s">
        <v>128</v>
      </c>
      <c r="B46" s="81">
        <v>1.667</v>
      </c>
      <c r="C46" s="81">
        <v>1.6759999999999999</v>
      </c>
      <c r="D46" s="81">
        <v>1.69</v>
      </c>
      <c r="E46" s="81">
        <v>1.702</v>
      </c>
      <c r="F46" s="81">
        <v>1.744</v>
      </c>
      <c r="G46" s="81">
        <v>1.7749999999999999</v>
      </c>
      <c r="H46" s="81">
        <v>1.821</v>
      </c>
      <c r="I46" s="81">
        <v>1.9750000000000001</v>
      </c>
      <c r="J46" s="81">
        <v>2.1680000000000001</v>
      </c>
      <c r="K46" s="81">
        <v>2.4580000000000002</v>
      </c>
      <c r="L46" s="81">
        <v>2.76</v>
      </c>
      <c r="M46" s="81">
        <v>3.3769999999999998</v>
      </c>
      <c r="N46" s="81">
        <v>3.7970000000000002</v>
      </c>
      <c r="O46" s="81">
        <v>3.9769999999999999</v>
      </c>
      <c r="P46" s="81" t="s">
        <v>34</v>
      </c>
      <c r="Q46" s="81" t="s">
        <v>34</v>
      </c>
    </row>
    <row r="47" spans="1:17" ht="16.5">
      <c r="A47" s="81" t="s">
        <v>129</v>
      </c>
      <c r="B47" s="81">
        <v>1.887</v>
      </c>
      <c r="C47" s="81">
        <v>1.911</v>
      </c>
      <c r="D47" s="81">
        <v>1.94</v>
      </c>
      <c r="E47" s="81">
        <v>1.9610000000000001</v>
      </c>
      <c r="F47" s="81">
        <v>2.0150000000000001</v>
      </c>
      <c r="G47" s="81">
        <v>2.113</v>
      </c>
      <c r="H47" s="81">
        <v>2.2389999999999999</v>
      </c>
      <c r="I47" s="81">
        <v>2.4329999999999998</v>
      </c>
      <c r="J47" s="81">
        <v>2.6909999999999998</v>
      </c>
      <c r="K47" s="81">
        <v>3.0680000000000001</v>
      </c>
      <c r="L47" s="81">
        <v>3.32</v>
      </c>
      <c r="M47" s="81">
        <v>3.907</v>
      </c>
      <c r="N47" s="81">
        <v>4.3120000000000003</v>
      </c>
      <c r="O47" s="81">
        <v>4.5419999999999998</v>
      </c>
      <c r="P47" s="81" t="s">
        <v>34</v>
      </c>
      <c r="Q47" s="81" t="s">
        <v>34</v>
      </c>
    </row>
    <row r="48" spans="1:17" ht="16.5">
      <c r="A48" s="81" t="s">
        <v>71</v>
      </c>
      <c r="B48" s="81">
        <v>1.36</v>
      </c>
      <c r="C48" s="81">
        <v>1.3759999999999999</v>
      </c>
      <c r="D48" s="81">
        <v>1.3939999999999999</v>
      </c>
      <c r="E48" s="81">
        <v>1.4139999999999999</v>
      </c>
      <c r="F48" s="81">
        <v>1.4450000000000001</v>
      </c>
      <c r="G48" s="81">
        <v>1.464</v>
      </c>
      <c r="H48" s="81">
        <v>1.4790000000000001</v>
      </c>
      <c r="I48" s="81">
        <v>1.484</v>
      </c>
      <c r="J48" s="81">
        <v>1.49</v>
      </c>
      <c r="K48" s="81">
        <v>1.508</v>
      </c>
      <c r="L48" s="81">
        <v>1.524</v>
      </c>
      <c r="M48" s="81">
        <v>1.5669999999999999</v>
      </c>
      <c r="N48" s="81" t="s">
        <v>34</v>
      </c>
      <c r="O48" s="81" t="s">
        <v>34</v>
      </c>
      <c r="P48" s="81" t="s">
        <v>34</v>
      </c>
      <c r="Q48" s="81" t="s">
        <v>34</v>
      </c>
    </row>
    <row r="49" spans="1:17" ht="16.5">
      <c r="A49" s="81" t="s">
        <v>72</v>
      </c>
      <c r="B49" s="81">
        <v>1.377</v>
      </c>
      <c r="C49" s="81">
        <v>1.38</v>
      </c>
      <c r="D49" s="81">
        <v>1.419</v>
      </c>
      <c r="E49" s="81">
        <v>1.4470000000000001</v>
      </c>
      <c r="F49" s="81">
        <v>1.518</v>
      </c>
      <c r="G49" s="81">
        <v>1.619</v>
      </c>
      <c r="H49" s="81">
        <v>1.661</v>
      </c>
      <c r="I49" s="81">
        <v>1.6879999999999999</v>
      </c>
      <c r="J49" s="81">
        <v>1.6839999999999999</v>
      </c>
      <c r="K49" s="81">
        <v>1.7</v>
      </c>
      <c r="L49" s="81">
        <v>1.849</v>
      </c>
      <c r="M49" s="81">
        <v>2.0739999999999998</v>
      </c>
      <c r="N49" s="81" t="s">
        <v>34</v>
      </c>
      <c r="O49" s="81" t="s">
        <v>34</v>
      </c>
      <c r="P49" s="81" t="s">
        <v>34</v>
      </c>
      <c r="Q49" s="81" t="s">
        <v>34</v>
      </c>
    </row>
    <row r="50" spans="1:17" ht="16.5">
      <c r="A50" s="81" t="s">
        <v>73</v>
      </c>
      <c r="B50" s="81">
        <v>1.54</v>
      </c>
      <c r="C50" s="81">
        <v>1.5529999999999999</v>
      </c>
      <c r="D50" s="81">
        <v>1.595</v>
      </c>
      <c r="E50" s="81">
        <v>1.635</v>
      </c>
      <c r="F50" s="81">
        <v>1.7230000000000001</v>
      </c>
      <c r="G50" s="81">
        <v>1.7509999999999999</v>
      </c>
      <c r="H50" s="81">
        <v>1.79</v>
      </c>
      <c r="I50" s="81">
        <v>1.825</v>
      </c>
      <c r="J50" s="81">
        <v>1.8109999999999999</v>
      </c>
      <c r="K50" s="81">
        <v>1.8580000000000001</v>
      </c>
      <c r="L50" s="81">
        <v>1.9810000000000001</v>
      </c>
      <c r="M50" s="81">
        <v>2.5110000000000001</v>
      </c>
      <c r="N50" s="81" t="s">
        <v>34</v>
      </c>
      <c r="O50" s="81" t="s">
        <v>34</v>
      </c>
      <c r="P50" s="81" t="s">
        <v>34</v>
      </c>
      <c r="Q50" s="81" t="s">
        <v>34</v>
      </c>
    </row>
    <row r="51" spans="1:17" ht="16.5">
      <c r="A51" s="81" t="s">
        <v>74</v>
      </c>
      <c r="B51" s="81">
        <v>1.887</v>
      </c>
      <c r="C51" s="81">
        <v>2.1680000000000001</v>
      </c>
      <c r="D51" s="81">
        <v>2.4860000000000002</v>
      </c>
      <c r="E51" s="81">
        <v>2.7120000000000002</v>
      </c>
      <c r="F51" s="81">
        <v>3.0289999999999999</v>
      </c>
      <c r="G51" s="81">
        <v>3.49</v>
      </c>
      <c r="H51" s="81">
        <v>3.734</v>
      </c>
      <c r="I51" s="81">
        <v>4.0720000000000001</v>
      </c>
      <c r="J51" s="81">
        <v>4.077</v>
      </c>
      <c r="K51" s="81">
        <v>4.1950000000000003</v>
      </c>
      <c r="L51" s="81">
        <v>4.21</v>
      </c>
      <c r="M51" s="81">
        <v>4.3650000000000002</v>
      </c>
      <c r="N51" s="81" t="s">
        <v>34</v>
      </c>
      <c r="O51" s="81" t="s">
        <v>34</v>
      </c>
      <c r="P51" s="81" t="s">
        <v>34</v>
      </c>
      <c r="Q51" s="81" t="s">
        <v>34</v>
      </c>
    </row>
    <row r="52" spans="1:17" ht="16.5">
      <c r="A52" s="81" t="s">
        <v>130</v>
      </c>
      <c r="B52" s="81">
        <v>1.36</v>
      </c>
      <c r="C52" s="81">
        <v>1.373</v>
      </c>
      <c r="D52" s="81">
        <v>1.387</v>
      </c>
      <c r="E52" s="81">
        <v>1.4039999999999999</v>
      </c>
      <c r="F52" s="81">
        <v>1.427</v>
      </c>
      <c r="G52" s="81">
        <v>1.45</v>
      </c>
      <c r="H52" s="81">
        <v>1.452</v>
      </c>
      <c r="I52" s="81">
        <v>1.4570000000000001</v>
      </c>
      <c r="J52" s="81">
        <v>1.46</v>
      </c>
      <c r="K52" s="81">
        <v>1.4650000000000001</v>
      </c>
      <c r="L52" s="81">
        <v>1.464</v>
      </c>
      <c r="M52" s="81">
        <v>1.5129999999999999</v>
      </c>
      <c r="N52" s="81">
        <v>1.6040000000000001</v>
      </c>
      <c r="O52" s="81">
        <v>1.7070000000000001</v>
      </c>
      <c r="P52" s="81" t="s">
        <v>34</v>
      </c>
      <c r="Q52" s="81" t="s">
        <v>34</v>
      </c>
    </row>
    <row r="53" spans="1:17" ht="16.5">
      <c r="A53" s="81" t="s">
        <v>131</v>
      </c>
      <c r="B53" s="81">
        <v>1.389</v>
      </c>
      <c r="C53" s="81">
        <v>1.3979999999999999</v>
      </c>
      <c r="D53" s="81">
        <v>1.4119999999999999</v>
      </c>
      <c r="E53" s="81">
        <v>1.4279999999999999</v>
      </c>
      <c r="F53" s="81">
        <v>1.4490000000000001</v>
      </c>
      <c r="G53" s="81">
        <v>1.4730000000000001</v>
      </c>
      <c r="H53" s="81">
        <v>1.478</v>
      </c>
      <c r="I53" s="81">
        <v>1.484</v>
      </c>
      <c r="J53" s="81">
        <v>1.488</v>
      </c>
      <c r="K53" s="81">
        <v>1.5109999999999999</v>
      </c>
      <c r="L53" s="81">
        <v>1.595</v>
      </c>
      <c r="M53" s="81">
        <v>1.788</v>
      </c>
      <c r="N53" s="81">
        <v>1.9950000000000001</v>
      </c>
      <c r="O53" s="81">
        <v>2.0950000000000002</v>
      </c>
      <c r="P53" s="81" t="s">
        <v>34</v>
      </c>
      <c r="Q53" s="81" t="s">
        <v>34</v>
      </c>
    </row>
    <row r="54" spans="1:17" ht="16.5">
      <c r="A54" s="81" t="s">
        <v>132</v>
      </c>
      <c r="B54" s="81">
        <v>1.431</v>
      </c>
      <c r="C54" s="81">
        <v>1.4390000000000001</v>
      </c>
      <c r="D54" s="81">
        <v>1.45</v>
      </c>
      <c r="E54" s="81">
        <v>1.464</v>
      </c>
      <c r="F54" s="81">
        <v>1.484</v>
      </c>
      <c r="G54" s="81">
        <v>1.51</v>
      </c>
      <c r="H54" s="81">
        <v>1.514</v>
      </c>
      <c r="I54" s="81">
        <v>1.5189999999999999</v>
      </c>
      <c r="J54" s="81">
        <v>1.524</v>
      </c>
      <c r="K54" s="81">
        <v>1.5720000000000001</v>
      </c>
      <c r="L54" s="81">
        <v>1.7490000000000001</v>
      </c>
      <c r="M54" s="81">
        <v>2.1739999999999999</v>
      </c>
      <c r="N54" s="81">
        <v>2.597</v>
      </c>
      <c r="O54" s="81">
        <v>2.7109999999999999</v>
      </c>
      <c r="P54" s="81" t="s">
        <v>34</v>
      </c>
      <c r="Q54" s="81" t="s">
        <v>34</v>
      </c>
    </row>
    <row r="55" spans="1:17" ht="16.5">
      <c r="A55" s="81" t="s">
        <v>133</v>
      </c>
      <c r="B55" s="81">
        <v>1.46</v>
      </c>
      <c r="C55" s="81">
        <v>1.468</v>
      </c>
      <c r="D55" s="81">
        <v>1.48</v>
      </c>
      <c r="E55" s="81">
        <v>1.494</v>
      </c>
      <c r="F55" s="81">
        <v>1.5149999999999999</v>
      </c>
      <c r="G55" s="81">
        <v>1.538</v>
      </c>
      <c r="H55" s="81">
        <v>1.5409999999999999</v>
      </c>
      <c r="I55" s="81">
        <v>1.546</v>
      </c>
      <c r="J55" s="81">
        <v>1.59</v>
      </c>
      <c r="K55" s="81">
        <v>1.677</v>
      </c>
      <c r="L55" s="81">
        <v>1.9550000000000001</v>
      </c>
      <c r="M55" s="81">
        <v>2.5249999999999999</v>
      </c>
      <c r="N55" s="81">
        <v>3.0750000000000002</v>
      </c>
      <c r="O55" s="81">
        <v>3.2559999999999998</v>
      </c>
      <c r="P55" s="81" t="s">
        <v>34</v>
      </c>
      <c r="Q55" s="81" t="s">
        <v>34</v>
      </c>
    </row>
    <row r="56" spans="1:17" ht="16.5">
      <c r="A56" s="81" t="s">
        <v>134</v>
      </c>
      <c r="B56" s="81">
        <v>1.516</v>
      </c>
      <c r="C56" s="81">
        <v>1.5269999999999999</v>
      </c>
      <c r="D56" s="81">
        <v>1.5369999999999999</v>
      </c>
      <c r="E56" s="81">
        <v>1.5469999999999999</v>
      </c>
      <c r="F56" s="81">
        <v>1.571</v>
      </c>
      <c r="G56" s="81">
        <v>1.597</v>
      </c>
      <c r="H56" s="81">
        <v>1.6080000000000001</v>
      </c>
      <c r="I56" s="81">
        <v>1.7190000000000001</v>
      </c>
      <c r="J56" s="81">
        <v>1.8380000000000001</v>
      </c>
      <c r="K56" s="81">
        <v>2.073</v>
      </c>
      <c r="L56" s="81">
        <v>2.3610000000000002</v>
      </c>
      <c r="M56" s="81">
        <v>2.931</v>
      </c>
      <c r="N56" s="81">
        <v>3.4049999999999998</v>
      </c>
      <c r="O56" s="81">
        <v>3.6059999999999999</v>
      </c>
      <c r="P56" s="81" t="s">
        <v>34</v>
      </c>
      <c r="Q56" s="81" t="s">
        <v>34</v>
      </c>
    </row>
    <row r="57" spans="1:17" ht="16.5">
      <c r="A57" s="81" t="s">
        <v>135</v>
      </c>
      <c r="B57" s="81">
        <v>1.6619999999999999</v>
      </c>
      <c r="C57" s="81">
        <v>1.679</v>
      </c>
      <c r="D57" s="81">
        <v>1.696</v>
      </c>
      <c r="E57" s="81">
        <v>1.71</v>
      </c>
      <c r="F57" s="81">
        <v>1.738</v>
      </c>
      <c r="G57" s="81">
        <v>1.7709999999999999</v>
      </c>
      <c r="H57" s="81">
        <v>1.82</v>
      </c>
      <c r="I57" s="81">
        <v>1.9870000000000001</v>
      </c>
      <c r="J57" s="81">
        <v>2.1850000000000001</v>
      </c>
      <c r="K57" s="81">
        <v>2.4860000000000002</v>
      </c>
      <c r="L57" s="81">
        <v>2.7949999999999999</v>
      </c>
      <c r="M57" s="81">
        <v>3.3849999999999998</v>
      </c>
      <c r="N57" s="81">
        <v>3.806</v>
      </c>
      <c r="O57" s="81">
        <v>4.0469999999999997</v>
      </c>
      <c r="P57" s="81" t="s">
        <v>34</v>
      </c>
      <c r="Q57" s="81" t="s">
        <v>34</v>
      </c>
    </row>
    <row r="58" spans="1:17" ht="16.5">
      <c r="A58" s="81" t="s">
        <v>136</v>
      </c>
      <c r="B58" s="81">
        <v>1.8859999999999999</v>
      </c>
      <c r="C58" s="81">
        <v>1.9179999999999999</v>
      </c>
      <c r="D58" s="81">
        <v>1.9430000000000001</v>
      </c>
      <c r="E58" s="81">
        <v>1.9710000000000001</v>
      </c>
      <c r="F58" s="81">
        <v>2.0150000000000001</v>
      </c>
      <c r="G58" s="81">
        <v>2.1</v>
      </c>
      <c r="H58" s="81">
        <v>2.218</v>
      </c>
      <c r="I58" s="81">
        <v>2.4289999999999998</v>
      </c>
      <c r="J58" s="81">
        <v>2.6829999999999998</v>
      </c>
      <c r="K58" s="81">
        <v>3.0710000000000002</v>
      </c>
      <c r="L58" s="81">
        <v>3.3290000000000002</v>
      </c>
      <c r="M58" s="81">
        <v>3.899</v>
      </c>
      <c r="N58" s="81">
        <v>4.3159999999999998</v>
      </c>
      <c r="O58" s="81">
        <v>4.6280000000000001</v>
      </c>
      <c r="P58" s="81" t="s">
        <v>34</v>
      </c>
      <c r="Q58" s="81" t="s">
        <v>34</v>
      </c>
    </row>
    <row r="59" spans="1:17" ht="16.5">
      <c r="A59" s="81" t="s">
        <v>137</v>
      </c>
      <c r="B59" s="81">
        <v>2.5270000000000001</v>
      </c>
      <c r="C59" s="81">
        <v>2.8860000000000001</v>
      </c>
      <c r="D59" s="81">
        <v>3.2330000000000001</v>
      </c>
      <c r="E59" s="81">
        <v>3.4630000000000001</v>
      </c>
      <c r="F59" s="81">
        <v>3.86</v>
      </c>
      <c r="G59" s="81">
        <v>4.3769999999999998</v>
      </c>
      <c r="H59" s="81">
        <v>4.7069999999999999</v>
      </c>
      <c r="I59" s="81">
        <v>5.0439999999999996</v>
      </c>
      <c r="J59" s="81">
        <v>5.09</v>
      </c>
      <c r="K59" s="81">
        <v>5.2190000000000003</v>
      </c>
      <c r="L59" s="81">
        <v>5.3</v>
      </c>
      <c r="M59" s="81">
        <v>5.56</v>
      </c>
      <c r="N59" s="81">
        <v>5.9889999999999999</v>
      </c>
      <c r="O59" s="81">
        <v>6.2530000000000001</v>
      </c>
      <c r="P59" s="81" t="s">
        <v>34</v>
      </c>
      <c r="Q59" s="81" t="s">
        <v>34</v>
      </c>
    </row>
    <row r="60" spans="1:17" ht="16.5">
      <c r="A60" s="81" t="s">
        <v>138</v>
      </c>
      <c r="B60" s="81">
        <v>2.907</v>
      </c>
      <c r="C60" s="81">
        <v>3.3889999999999998</v>
      </c>
      <c r="D60" s="81">
        <v>3.8140000000000001</v>
      </c>
      <c r="E60" s="81">
        <v>4.1369999999999996</v>
      </c>
      <c r="F60" s="81">
        <v>4.67</v>
      </c>
      <c r="G60" s="81">
        <v>5.3209999999999997</v>
      </c>
      <c r="H60" s="81">
        <v>5.74</v>
      </c>
      <c r="I60" s="81">
        <v>6.0919999999999996</v>
      </c>
      <c r="J60" s="81">
        <v>6.133</v>
      </c>
      <c r="K60" s="81">
        <v>6.266</v>
      </c>
      <c r="L60" s="81">
        <v>6.35</v>
      </c>
      <c r="M60" s="81">
        <v>6.6779999999999999</v>
      </c>
      <c r="N60" s="81">
        <v>7.101</v>
      </c>
      <c r="O60" s="81">
        <v>7.3789999999999996</v>
      </c>
      <c r="P60" s="81" t="s">
        <v>34</v>
      </c>
      <c r="Q60" s="81" t="s">
        <v>34</v>
      </c>
    </row>
    <row r="61" spans="1:17" ht="16.5">
      <c r="A61" s="81" t="s">
        <v>139</v>
      </c>
      <c r="B61" s="81">
        <v>3.5819999999999999</v>
      </c>
      <c r="C61" s="81">
        <v>4.1859999999999999</v>
      </c>
      <c r="D61" s="81">
        <v>4.7480000000000002</v>
      </c>
      <c r="E61" s="81">
        <v>5.125</v>
      </c>
      <c r="F61" s="81">
        <v>5.7850000000000001</v>
      </c>
      <c r="G61" s="81">
        <v>6.48</v>
      </c>
      <c r="H61" s="81">
        <v>6.9749999999999996</v>
      </c>
      <c r="I61" s="81">
        <v>7.4610000000000003</v>
      </c>
      <c r="J61" s="81">
        <v>7.5590000000000002</v>
      </c>
      <c r="K61" s="81">
        <v>7.6879999999999997</v>
      </c>
      <c r="L61" s="81">
        <v>7.7709999999999999</v>
      </c>
      <c r="M61" s="81">
        <v>8.1039999999999992</v>
      </c>
      <c r="N61" s="81">
        <v>8.5820000000000007</v>
      </c>
      <c r="O61" s="81">
        <v>8.8420000000000005</v>
      </c>
      <c r="P61" s="81" t="s">
        <v>34</v>
      </c>
      <c r="Q61" s="81" t="s">
        <v>34</v>
      </c>
    </row>
    <row r="62" spans="1:17" ht="16.5">
      <c r="A62" s="81" t="s">
        <v>392</v>
      </c>
      <c r="B62" s="81">
        <v>5.0679999999999996</v>
      </c>
      <c r="C62" s="81">
        <v>5.859</v>
      </c>
      <c r="D62" s="81">
        <v>6.444</v>
      </c>
      <c r="E62" s="81">
        <v>7.0330000000000004</v>
      </c>
      <c r="F62" s="81">
        <v>7.6349999999999998</v>
      </c>
      <c r="G62" s="81">
        <v>8.3209999999999997</v>
      </c>
      <c r="H62" s="81">
        <v>8.9619999999999997</v>
      </c>
      <c r="I62" s="81">
        <v>9.5380000000000003</v>
      </c>
      <c r="J62" s="81">
        <v>9.8160000000000007</v>
      </c>
      <c r="K62" s="81">
        <v>10.093999999999999</v>
      </c>
      <c r="L62" s="81">
        <v>10.336</v>
      </c>
      <c r="M62" s="81">
        <v>10.478</v>
      </c>
      <c r="N62" s="81">
        <v>11.208</v>
      </c>
      <c r="O62" s="81">
        <v>11.55</v>
      </c>
      <c r="P62" s="81" t="s">
        <v>34</v>
      </c>
      <c r="Q62" s="81" t="s">
        <v>34</v>
      </c>
    </row>
    <row r="63" spans="1:17" ht="16.5">
      <c r="A63" s="81" t="s">
        <v>393</v>
      </c>
      <c r="B63" s="81">
        <v>5.8129999999999997</v>
      </c>
      <c r="C63" s="81">
        <v>6.63</v>
      </c>
      <c r="D63" s="81">
        <v>7.2640000000000002</v>
      </c>
      <c r="E63" s="81">
        <v>7.85</v>
      </c>
      <c r="F63" s="81">
        <v>8.4629999999999992</v>
      </c>
      <c r="G63" s="81">
        <v>9.2149999999999999</v>
      </c>
      <c r="H63" s="81">
        <v>10.069000000000001</v>
      </c>
      <c r="I63" s="81">
        <v>10.698</v>
      </c>
      <c r="J63" s="81">
        <v>10.946</v>
      </c>
      <c r="K63" s="81">
        <v>11.137</v>
      </c>
      <c r="L63" s="81">
        <v>11.41</v>
      </c>
      <c r="M63" s="81">
        <v>11.558999999999999</v>
      </c>
      <c r="N63" s="81">
        <v>12.377000000000001</v>
      </c>
      <c r="O63" s="81">
        <v>12.768000000000001</v>
      </c>
      <c r="P63" s="81" t="s">
        <v>34</v>
      </c>
      <c r="Q63" s="81" t="s">
        <v>34</v>
      </c>
    </row>
    <row r="64" spans="1:17" ht="16.5">
      <c r="A64" s="81" t="s">
        <v>394</v>
      </c>
      <c r="B64" s="81">
        <v>6.5270000000000001</v>
      </c>
      <c r="C64" s="81">
        <v>7.4880000000000004</v>
      </c>
      <c r="D64" s="81">
        <v>8.1</v>
      </c>
      <c r="E64" s="81">
        <v>8.6989999999999998</v>
      </c>
      <c r="F64" s="81">
        <v>9.3109999999999999</v>
      </c>
      <c r="G64" s="81">
        <v>10.132</v>
      </c>
      <c r="H64" s="81">
        <v>11.03</v>
      </c>
      <c r="I64" s="81">
        <v>11.615</v>
      </c>
      <c r="J64" s="81">
        <v>11.843999999999999</v>
      </c>
      <c r="K64" s="81">
        <v>12.055999999999999</v>
      </c>
      <c r="L64" s="81">
        <v>12.345000000000001</v>
      </c>
      <c r="M64" s="81">
        <v>12.537000000000001</v>
      </c>
      <c r="N64" s="81">
        <v>13.018000000000001</v>
      </c>
      <c r="O64" s="81">
        <v>13.42</v>
      </c>
      <c r="P64" s="81" t="s">
        <v>34</v>
      </c>
      <c r="Q64" s="81" t="s">
        <v>34</v>
      </c>
    </row>
    <row r="65" spans="1:17" ht="16.5">
      <c r="A65" s="81" t="s">
        <v>140</v>
      </c>
      <c r="B65" s="81">
        <v>1.423</v>
      </c>
      <c r="C65" s="81">
        <v>1.48</v>
      </c>
      <c r="D65" s="81">
        <v>1.5049999999999999</v>
      </c>
      <c r="E65" s="81">
        <v>1.532</v>
      </c>
      <c r="F65" s="81">
        <v>1.5720000000000001</v>
      </c>
      <c r="G65" s="81">
        <v>1.6080000000000001</v>
      </c>
      <c r="H65" s="81">
        <v>1.62</v>
      </c>
      <c r="I65" s="81">
        <v>1.631</v>
      </c>
      <c r="J65" s="81">
        <v>1.647</v>
      </c>
      <c r="K65" s="81">
        <v>1.6779999999999999</v>
      </c>
      <c r="L65" s="81">
        <v>1.7070000000000001</v>
      </c>
      <c r="M65" s="81">
        <v>1.796</v>
      </c>
      <c r="N65" s="81">
        <v>1.927</v>
      </c>
      <c r="O65" s="81">
        <v>2.0529999999999999</v>
      </c>
      <c r="P65" s="81" t="s">
        <v>34</v>
      </c>
      <c r="Q65" s="81" t="s">
        <v>34</v>
      </c>
    </row>
    <row r="66" spans="1:17" ht="16.5">
      <c r="A66" s="81" t="s">
        <v>141</v>
      </c>
      <c r="B66" s="81">
        <v>1.4610000000000001</v>
      </c>
      <c r="C66" s="81">
        <v>1.524</v>
      </c>
      <c r="D66" s="81">
        <v>1.556</v>
      </c>
      <c r="E66" s="81">
        <v>1.5820000000000001</v>
      </c>
      <c r="F66" s="81">
        <v>1.62</v>
      </c>
      <c r="G66" s="81">
        <v>1.655</v>
      </c>
      <c r="H66" s="81">
        <v>1.6739999999999999</v>
      </c>
      <c r="I66" s="81">
        <v>1.6819999999999999</v>
      </c>
      <c r="J66" s="81">
        <v>1.702</v>
      </c>
      <c r="K66" s="81">
        <v>1.75</v>
      </c>
      <c r="L66" s="81">
        <v>1.859</v>
      </c>
      <c r="M66" s="81">
        <v>2.0880000000000001</v>
      </c>
      <c r="N66" s="81">
        <v>2.331</v>
      </c>
      <c r="O66" s="81">
        <v>2.4460000000000002</v>
      </c>
      <c r="P66" s="81" t="s">
        <v>34</v>
      </c>
      <c r="Q66" s="81" t="s">
        <v>34</v>
      </c>
    </row>
    <row r="67" spans="1:17" ht="16.5">
      <c r="A67" s="81" t="s">
        <v>142</v>
      </c>
      <c r="B67" s="81">
        <v>1.516</v>
      </c>
      <c r="C67" s="81">
        <v>1.583</v>
      </c>
      <c r="D67" s="81">
        <v>1.61</v>
      </c>
      <c r="E67" s="81">
        <v>1.637</v>
      </c>
      <c r="F67" s="81">
        <v>1.677</v>
      </c>
      <c r="G67" s="81">
        <v>1.716</v>
      </c>
      <c r="H67" s="81">
        <v>1.724</v>
      </c>
      <c r="I67" s="81">
        <v>1.7450000000000001</v>
      </c>
      <c r="J67" s="81">
        <v>1.762</v>
      </c>
      <c r="K67" s="81">
        <v>1.835</v>
      </c>
      <c r="L67" s="81">
        <v>2.0350000000000001</v>
      </c>
      <c r="M67" s="81">
        <v>2.4849999999999999</v>
      </c>
      <c r="N67" s="81">
        <v>2.9470000000000001</v>
      </c>
      <c r="O67" s="81">
        <v>3.0710000000000002</v>
      </c>
      <c r="P67" s="81" t="s">
        <v>34</v>
      </c>
      <c r="Q67" s="81" t="s">
        <v>34</v>
      </c>
    </row>
    <row r="68" spans="1:17" ht="16.5">
      <c r="A68" s="81" t="s">
        <v>143</v>
      </c>
      <c r="B68" s="81">
        <v>1.5620000000000001</v>
      </c>
      <c r="C68" s="81">
        <v>1.629</v>
      </c>
      <c r="D68" s="81">
        <v>1.6579999999999999</v>
      </c>
      <c r="E68" s="81">
        <v>1.6870000000000001</v>
      </c>
      <c r="F68" s="81">
        <v>1.73</v>
      </c>
      <c r="G68" s="81">
        <v>1.7649999999999999</v>
      </c>
      <c r="H68" s="81">
        <v>1.7789999999999999</v>
      </c>
      <c r="I68" s="81">
        <v>1.8029999999999999</v>
      </c>
      <c r="J68" s="81">
        <v>1.86</v>
      </c>
      <c r="K68" s="81">
        <v>1.976</v>
      </c>
      <c r="L68" s="81">
        <v>2.2850000000000001</v>
      </c>
      <c r="M68" s="81">
        <v>2.871</v>
      </c>
      <c r="N68" s="81">
        <v>3.448</v>
      </c>
      <c r="O68" s="81">
        <v>3.641</v>
      </c>
      <c r="P68" s="81" t="s">
        <v>34</v>
      </c>
      <c r="Q68" s="81" t="s">
        <v>34</v>
      </c>
    </row>
    <row r="69" spans="1:17" ht="16.5">
      <c r="A69" s="81" t="s">
        <v>144</v>
      </c>
      <c r="B69" s="81">
        <v>1.7050000000000001</v>
      </c>
      <c r="C69" s="81">
        <v>1.764</v>
      </c>
      <c r="D69" s="81">
        <v>1.7929999999999999</v>
      </c>
      <c r="E69" s="81">
        <v>1.8169999999999999</v>
      </c>
      <c r="F69" s="81">
        <v>1.8640000000000001</v>
      </c>
      <c r="G69" s="81">
        <v>1.9119999999999999</v>
      </c>
      <c r="H69" s="81">
        <v>1.954</v>
      </c>
      <c r="I69" s="81">
        <v>2.0760000000000001</v>
      </c>
      <c r="J69" s="81">
        <v>2.2090000000000001</v>
      </c>
      <c r="K69" s="81">
        <v>2.4689999999999999</v>
      </c>
      <c r="L69" s="81">
        <v>2.7890000000000001</v>
      </c>
      <c r="M69" s="81">
        <v>3.3980000000000001</v>
      </c>
      <c r="N69" s="81">
        <v>3.9140000000000001</v>
      </c>
      <c r="O69" s="81">
        <v>4.1269999999999998</v>
      </c>
      <c r="P69" s="81" t="s">
        <v>34</v>
      </c>
      <c r="Q69" s="81" t="s">
        <v>34</v>
      </c>
    </row>
    <row r="70" spans="1:17" ht="16.5">
      <c r="A70" s="81" t="s">
        <v>145</v>
      </c>
      <c r="B70" s="81">
        <v>1.87</v>
      </c>
      <c r="C70" s="81">
        <v>1.9470000000000001</v>
      </c>
      <c r="D70" s="81">
        <v>1.984</v>
      </c>
      <c r="E70" s="81">
        <v>2.0070000000000001</v>
      </c>
      <c r="F70" s="81">
        <v>2.0569999999999999</v>
      </c>
      <c r="G70" s="81">
        <v>2.1190000000000002</v>
      </c>
      <c r="H70" s="81">
        <v>2.198</v>
      </c>
      <c r="I70" s="81">
        <v>2.3740000000000001</v>
      </c>
      <c r="J70" s="81">
        <v>2.6019999999999999</v>
      </c>
      <c r="K70" s="81">
        <v>2.9220000000000002</v>
      </c>
      <c r="L70" s="81">
        <v>3.2589999999999999</v>
      </c>
      <c r="M70" s="81">
        <v>3.8969999999999998</v>
      </c>
      <c r="N70" s="81">
        <v>4.3550000000000004</v>
      </c>
      <c r="O70" s="81">
        <v>4.6050000000000004</v>
      </c>
      <c r="P70" s="81" t="s">
        <v>34</v>
      </c>
      <c r="Q70" s="81" t="s">
        <v>34</v>
      </c>
    </row>
    <row r="71" spans="1:17" ht="16.5">
      <c r="A71" s="81" t="s">
        <v>146</v>
      </c>
      <c r="B71" s="81">
        <v>2.1339999999999999</v>
      </c>
      <c r="C71" s="81">
        <v>2.2240000000000002</v>
      </c>
      <c r="D71" s="81">
        <v>2.2749999999999999</v>
      </c>
      <c r="E71" s="81">
        <v>2.3159999999999998</v>
      </c>
      <c r="F71" s="81">
        <v>2.3820000000000001</v>
      </c>
      <c r="G71" s="81">
        <v>2.4870000000000001</v>
      </c>
      <c r="H71" s="81">
        <v>2.6269999999999998</v>
      </c>
      <c r="I71" s="81">
        <v>2.8580000000000001</v>
      </c>
      <c r="J71" s="81">
        <v>3.1190000000000002</v>
      </c>
      <c r="K71" s="81">
        <v>3.54</v>
      </c>
      <c r="L71" s="81">
        <v>3.82</v>
      </c>
      <c r="M71" s="81">
        <v>4.4329999999999998</v>
      </c>
      <c r="N71" s="81">
        <v>4.8860000000000001</v>
      </c>
      <c r="O71" s="81">
        <v>5.194</v>
      </c>
      <c r="P71" s="81" t="s">
        <v>34</v>
      </c>
      <c r="Q71" s="81" t="s">
        <v>34</v>
      </c>
    </row>
    <row r="72" spans="1:17" ht="16.5">
      <c r="A72" s="81" t="s">
        <v>147</v>
      </c>
      <c r="B72" s="81">
        <v>2.7959999999999998</v>
      </c>
      <c r="C72" s="81">
        <v>3.2309999999999999</v>
      </c>
      <c r="D72" s="81">
        <v>3.6640000000000001</v>
      </c>
      <c r="E72" s="81">
        <v>3.919</v>
      </c>
      <c r="F72" s="81">
        <v>4.343</v>
      </c>
      <c r="G72" s="81">
        <v>4.8620000000000001</v>
      </c>
      <c r="H72" s="81">
        <v>5.2190000000000003</v>
      </c>
      <c r="I72" s="81">
        <v>5.5839999999999996</v>
      </c>
      <c r="J72" s="81">
        <v>5.65</v>
      </c>
      <c r="K72" s="81">
        <v>5.8029999999999999</v>
      </c>
      <c r="L72" s="81">
        <v>5.8959999999999999</v>
      </c>
      <c r="M72" s="81">
        <v>6.1870000000000003</v>
      </c>
      <c r="N72" s="81">
        <v>6.6470000000000002</v>
      </c>
      <c r="O72" s="81">
        <v>6.9109999999999996</v>
      </c>
      <c r="P72" s="81" t="s">
        <v>34</v>
      </c>
      <c r="Q72" s="81" t="s">
        <v>34</v>
      </c>
    </row>
    <row r="73" spans="1:17" ht="16.5">
      <c r="A73" s="81" t="s">
        <v>148</v>
      </c>
      <c r="B73" s="81">
        <v>3.194</v>
      </c>
      <c r="C73" s="81">
        <v>3.758</v>
      </c>
      <c r="D73" s="81">
        <v>4.2649999999999997</v>
      </c>
      <c r="E73" s="81">
        <v>4.6509999999999998</v>
      </c>
      <c r="F73" s="81">
        <v>5.1989999999999998</v>
      </c>
      <c r="G73" s="81">
        <v>5.8650000000000002</v>
      </c>
      <c r="H73" s="81">
        <v>6.3090000000000002</v>
      </c>
      <c r="I73" s="81">
        <v>6.6980000000000004</v>
      </c>
      <c r="J73" s="81">
        <v>6.7850000000000001</v>
      </c>
      <c r="K73" s="81">
        <v>6.9409999999999998</v>
      </c>
      <c r="L73" s="81">
        <v>7.0469999999999997</v>
      </c>
      <c r="M73" s="81">
        <v>7.407</v>
      </c>
      <c r="N73" s="81">
        <v>7.8540000000000001</v>
      </c>
      <c r="O73" s="81">
        <v>8.1389999999999993</v>
      </c>
      <c r="P73" s="81" t="s">
        <v>34</v>
      </c>
      <c r="Q73" s="81" t="s">
        <v>34</v>
      </c>
    </row>
    <row r="74" spans="1:17" ht="16.5">
      <c r="A74" s="81" t="s">
        <v>149</v>
      </c>
      <c r="B74" s="81">
        <v>4.1740000000000004</v>
      </c>
      <c r="C74" s="81">
        <v>4.8380000000000001</v>
      </c>
      <c r="D74" s="81">
        <v>5.4749999999999996</v>
      </c>
      <c r="E74" s="81">
        <v>5.9059999999999997</v>
      </c>
      <c r="F74" s="81">
        <v>6.617</v>
      </c>
      <c r="G74" s="81">
        <v>7.3289999999999997</v>
      </c>
      <c r="H74" s="81">
        <v>7.8550000000000004</v>
      </c>
      <c r="I74" s="81">
        <v>8.3719999999999999</v>
      </c>
      <c r="J74" s="81">
        <v>8.4920000000000009</v>
      </c>
      <c r="K74" s="81">
        <v>8.6430000000000007</v>
      </c>
      <c r="L74" s="81">
        <v>8.74</v>
      </c>
      <c r="M74" s="81">
        <v>9.0869999999999997</v>
      </c>
      <c r="N74" s="81">
        <v>9.58</v>
      </c>
      <c r="O74" s="81">
        <v>9.8529999999999998</v>
      </c>
      <c r="P74" s="81" t="s">
        <v>34</v>
      </c>
      <c r="Q74" s="81" t="s">
        <v>34</v>
      </c>
    </row>
  </sheetData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Z68"/>
  <sheetViews>
    <sheetView zoomScale="160" zoomScaleNormal="160" workbookViewId="0">
      <selection activeCell="C24" sqref="C24:M24"/>
    </sheetView>
  </sheetViews>
  <sheetFormatPr defaultRowHeight="13.5"/>
  <cols>
    <col min="1" max="1" width="2.33203125" style="50" customWidth="1"/>
    <col min="2" max="2" width="4" style="50" bestFit="1" customWidth="1"/>
    <col min="3" max="4" width="4.88671875" style="50" bestFit="1" customWidth="1"/>
    <col min="5" max="5" width="4.6640625" style="50" bestFit="1" customWidth="1"/>
    <col min="6" max="13" width="4.88671875" style="50" bestFit="1" customWidth="1"/>
    <col min="14" max="14" width="4.6640625" style="50" bestFit="1" customWidth="1"/>
    <col min="15" max="16384" width="8.88671875" style="50"/>
  </cols>
  <sheetData>
    <row r="1" spans="1:14">
      <c r="A1" s="349" t="s">
        <v>46</v>
      </c>
      <c r="B1" s="350"/>
      <c r="C1" s="286" t="s">
        <v>47</v>
      </c>
      <c r="D1" s="286" t="s">
        <v>48</v>
      </c>
      <c r="E1" s="286" t="s">
        <v>49</v>
      </c>
      <c r="F1" s="286" t="s">
        <v>50</v>
      </c>
      <c r="G1" s="286" t="s">
        <v>93</v>
      </c>
      <c r="H1" s="286" t="s">
        <v>52</v>
      </c>
      <c r="I1" s="286" t="s">
        <v>87</v>
      </c>
      <c r="J1" s="286" t="s">
        <v>54</v>
      </c>
      <c r="K1" s="286" t="s">
        <v>55</v>
      </c>
      <c r="L1" s="286" t="s">
        <v>56</v>
      </c>
      <c r="M1" s="286" t="s">
        <v>57</v>
      </c>
      <c r="N1" s="285" t="s">
        <v>58</v>
      </c>
    </row>
    <row r="2" spans="1:14">
      <c r="A2" s="347" t="s">
        <v>60</v>
      </c>
      <c r="B2" s="348"/>
      <c r="C2" s="283">
        <f>시평!B2</f>
        <v>1.2450000000000001</v>
      </c>
      <c r="D2" s="283">
        <f>시평!C2</f>
        <v>1.2</v>
      </c>
      <c r="E2" s="283">
        <f>시평!D2</f>
        <v>1.1559999999999999</v>
      </c>
      <c r="F2" s="283">
        <f>시평!E2</f>
        <v>1.125</v>
      </c>
      <c r="G2" s="283">
        <f>시평!F2</f>
        <v>1.1559999999999999</v>
      </c>
      <c r="H2" s="283">
        <f>시평!G2</f>
        <v>1.2</v>
      </c>
      <c r="I2" s="283">
        <f>시평!H2</f>
        <v>1.2010000000000001</v>
      </c>
      <c r="J2" s="283">
        <f>시평!I2</f>
        <v>1.175</v>
      </c>
      <c r="K2" s="283">
        <f>시평!J2</f>
        <v>1.2130000000000001</v>
      </c>
      <c r="L2" s="283">
        <f>시평!K2</f>
        <v>1.21</v>
      </c>
      <c r="M2" s="283">
        <f>시평!L2</f>
        <v>1.2350000000000001</v>
      </c>
      <c r="N2" s="284">
        <f>시평!M2</f>
        <v>1.2410000000000001</v>
      </c>
    </row>
    <row r="3" spans="1:14">
      <c r="A3" s="338" t="s">
        <v>89</v>
      </c>
      <c r="B3" s="339"/>
      <c r="C3" s="59">
        <f>시평!B3</f>
        <v>1.2569999999999999</v>
      </c>
      <c r="D3" s="59">
        <f>시평!C3</f>
        <v>1.2310000000000001</v>
      </c>
      <c r="E3" s="59">
        <f>시평!D3</f>
        <v>1.202</v>
      </c>
      <c r="F3" s="59">
        <f>시평!E3</f>
        <v>1.2030000000000001</v>
      </c>
      <c r="G3" s="59">
        <f>시평!F3</f>
        <v>1.228</v>
      </c>
      <c r="H3" s="59">
        <f>시평!G3</f>
        <v>1.2529999999999999</v>
      </c>
      <c r="I3" s="59">
        <f>시평!H3</f>
        <v>1.2529999999999999</v>
      </c>
      <c r="J3" s="59">
        <f>시평!I3</f>
        <v>1.26</v>
      </c>
      <c r="K3" s="59">
        <f>시평!J3</f>
        <v>1.262</v>
      </c>
      <c r="L3" s="59">
        <f>시평!K3</f>
        <v>1.2749999999999999</v>
      </c>
      <c r="M3" s="59" t="str">
        <f>시평!L3</f>
        <v>-</v>
      </c>
      <c r="N3" s="234" t="str">
        <f>시평!M3</f>
        <v>-</v>
      </c>
    </row>
    <row r="4" spans="1:14">
      <c r="A4" s="353" t="s">
        <v>264</v>
      </c>
      <c r="B4" s="354"/>
      <c r="C4" s="63">
        <f>시평!B7</f>
        <v>1.3580000000000001</v>
      </c>
      <c r="D4" s="63">
        <f>시평!C7</f>
        <v>1.327</v>
      </c>
      <c r="E4" s="63">
        <f>시평!D7</f>
        <v>1.3029999999999999</v>
      </c>
      <c r="F4" s="63">
        <f>시평!E7</f>
        <v>1.3029999999999999</v>
      </c>
      <c r="G4" s="63">
        <f>시평!F7</f>
        <v>1.3280000000000001</v>
      </c>
      <c r="H4" s="63">
        <f>시평!G7</f>
        <v>1.3520000000000001</v>
      </c>
      <c r="I4" s="63">
        <f>시평!H7</f>
        <v>1.337</v>
      </c>
      <c r="J4" s="63">
        <f>시평!I7</f>
        <v>1.3380000000000001</v>
      </c>
      <c r="K4" s="63">
        <f>시평!J7</f>
        <v>1.3360000000000001</v>
      </c>
      <c r="L4" s="63">
        <f>시평!K7</f>
        <v>1.341</v>
      </c>
      <c r="M4" s="63">
        <f>시평!L7</f>
        <v>1.3320000000000001</v>
      </c>
      <c r="N4" s="89">
        <f>시평!M7</f>
        <v>1.349</v>
      </c>
    </row>
    <row r="5" spans="1:14">
      <c r="A5" s="345" t="s">
        <v>302</v>
      </c>
      <c r="B5" s="346"/>
      <c r="C5" s="91">
        <f>시평!B8</f>
        <v>1.319</v>
      </c>
      <c r="D5" s="91">
        <f>시평!C8</f>
        <v>1.2869999999999999</v>
      </c>
      <c r="E5" s="91">
        <f>시평!D8</f>
        <v>1.264</v>
      </c>
      <c r="F5" s="91">
        <f>시평!E8</f>
        <v>1.26</v>
      </c>
      <c r="G5" s="91">
        <f>시평!F8</f>
        <v>1.288</v>
      </c>
      <c r="H5" s="91">
        <f>시평!G8</f>
        <v>1.3129999999999999</v>
      </c>
      <c r="I5" s="91">
        <f>시평!H8</f>
        <v>1.298</v>
      </c>
      <c r="J5" s="91">
        <f>시평!I8</f>
        <v>1.3009999999999999</v>
      </c>
      <c r="K5" s="91">
        <f>시평!J8</f>
        <v>1.3029999999999999</v>
      </c>
      <c r="L5" s="91">
        <f>시평!K8</f>
        <v>1.3089999999999999</v>
      </c>
      <c r="M5" s="91">
        <f>시평!L8</f>
        <v>1.3</v>
      </c>
      <c r="N5" s="90">
        <f>시평!M8</f>
        <v>1.319</v>
      </c>
    </row>
    <row r="6" spans="1:14">
      <c r="A6" s="351" t="s">
        <v>64</v>
      </c>
      <c r="B6" s="352"/>
      <c r="C6" s="65">
        <f>시평!B$9</f>
        <v>1.355</v>
      </c>
      <c r="D6" s="66">
        <f>시평!C$9</f>
        <v>1.321</v>
      </c>
      <c r="E6" s="66">
        <f>시평!D$9</f>
        <v>1.298</v>
      </c>
      <c r="F6" s="66">
        <f>시평!E$9</f>
        <v>1.296</v>
      </c>
      <c r="G6" s="66">
        <f>시평!F$9</f>
        <v>1.323</v>
      </c>
      <c r="H6" s="66">
        <f>시평!G$9</f>
        <v>1.3460000000000001</v>
      </c>
      <c r="I6" s="66">
        <f>시평!H$9</f>
        <v>1.331</v>
      </c>
      <c r="J6" s="66">
        <f>시평!I$9</f>
        <v>1.3320000000000001</v>
      </c>
      <c r="K6" s="66">
        <f>시평!J$9</f>
        <v>1.3320000000000001</v>
      </c>
      <c r="L6" s="66">
        <f>시평!K$9</f>
        <v>1.3360000000000001</v>
      </c>
      <c r="M6" s="66">
        <f>시평!L$9</f>
        <v>1.329</v>
      </c>
      <c r="N6" s="67">
        <f>시평!M$9</f>
        <v>1.347</v>
      </c>
    </row>
    <row r="7" spans="1:14">
      <c r="A7" s="331" t="s">
        <v>65</v>
      </c>
      <c r="B7" s="332"/>
      <c r="C7" s="63">
        <f>시평!B$10</f>
        <v>1.385</v>
      </c>
      <c r="D7" s="64">
        <f>시평!C$10</f>
        <v>1.363</v>
      </c>
      <c r="E7" s="64">
        <f>시평!D$10</f>
        <v>1.34</v>
      </c>
      <c r="F7" s="64">
        <f>시평!E$10</f>
        <v>1.345</v>
      </c>
      <c r="G7" s="64">
        <f>시평!F$10</f>
        <v>1.3720000000000001</v>
      </c>
      <c r="H7" s="64">
        <f>시평!G$10</f>
        <v>1.3959999999999999</v>
      </c>
      <c r="I7" s="64">
        <f>시평!H$10</f>
        <v>1.3839999999999999</v>
      </c>
      <c r="J7" s="64">
        <f>시평!I$10</f>
        <v>1.387</v>
      </c>
      <c r="K7" s="64">
        <f>시평!J$10</f>
        <v>1.3919999999999999</v>
      </c>
      <c r="L7" s="64">
        <f>시평!K$10</f>
        <v>1.4279999999999999</v>
      </c>
      <c r="M7" s="64">
        <f>시평!L$10</f>
        <v>1.4670000000000001</v>
      </c>
      <c r="N7" s="62">
        <f>시평!M$10</f>
        <v>1.542</v>
      </c>
    </row>
    <row r="8" spans="1:14">
      <c r="A8" s="333" t="s">
        <v>67</v>
      </c>
      <c r="B8" s="334"/>
      <c r="C8" s="54">
        <f>시평!B$14</f>
        <v>1.3879999999999999</v>
      </c>
      <c r="D8" s="56">
        <f>시평!C$14</f>
        <v>1.331</v>
      </c>
      <c r="E8" s="56">
        <f>시평!D$14</f>
        <v>1.292</v>
      </c>
      <c r="F8" s="56">
        <f>시평!E$14</f>
        <v>1.2929999999999999</v>
      </c>
      <c r="G8" s="56">
        <f>시평!F$14</f>
        <v>1.3129999999999999</v>
      </c>
      <c r="H8" s="56">
        <f>시평!G$14</f>
        <v>1.3220000000000001</v>
      </c>
      <c r="I8" s="56">
        <f>시평!H$14</f>
        <v>1.3140000000000001</v>
      </c>
      <c r="J8" s="56">
        <f>시평!I$14</f>
        <v>1.3180000000000001</v>
      </c>
      <c r="K8" s="56">
        <f>시평!J$14</f>
        <v>1.3220000000000001</v>
      </c>
      <c r="L8" s="56">
        <f>시평!K$14</f>
        <v>1.357</v>
      </c>
      <c r="M8" s="56">
        <f>시평!L$14</f>
        <v>1.3580000000000001</v>
      </c>
      <c r="N8" s="55">
        <f>시평!M$14</f>
        <v>1.405</v>
      </c>
    </row>
    <row r="9" spans="1:14">
      <c r="A9" s="338" t="s">
        <v>68</v>
      </c>
      <c r="B9" s="339"/>
      <c r="C9" s="57">
        <f>시평!B$15</f>
        <v>1.3879999999999999</v>
      </c>
      <c r="D9" s="60">
        <f>시평!C$15</f>
        <v>1.331</v>
      </c>
      <c r="E9" s="60">
        <f>시평!D$15</f>
        <v>1.292</v>
      </c>
      <c r="F9" s="60">
        <f>시평!E$15</f>
        <v>1.2929999999999999</v>
      </c>
      <c r="G9" s="60">
        <f>시평!F$15</f>
        <v>1.3129999999999999</v>
      </c>
      <c r="H9" s="60">
        <f>시평!G$15</f>
        <v>1.3220000000000001</v>
      </c>
      <c r="I9" s="60">
        <f>시평!H$15</f>
        <v>1.319</v>
      </c>
      <c r="J9" s="60">
        <f>시평!I$15</f>
        <v>1.325</v>
      </c>
      <c r="K9" s="60">
        <f>시평!J$15</f>
        <v>1.34</v>
      </c>
      <c r="L9" s="60">
        <f>시평!K$15</f>
        <v>1.3720000000000001</v>
      </c>
      <c r="M9" s="60">
        <f>시평!L$15</f>
        <v>1.3839999999999999</v>
      </c>
      <c r="N9" s="58">
        <f>시평!M$15</f>
        <v>1.44</v>
      </c>
    </row>
    <row r="10" spans="1:14">
      <c r="A10" s="340" t="s">
        <v>69</v>
      </c>
      <c r="B10" s="341"/>
      <c r="C10" s="68">
        <f>시평!B$16</f>
        <v>1.4079999999999999</v>
      </c>
      <c r="D10" s="74">
        <f>시평!C$16</f>
        <v>1.355</v>
      </c>
      <c r="E10" s="74">
        <f>시평!D$16</f>
        <v>1.3220000000000001</v>
      </c>
      <c r="F10" s="74">
        <f>시평!E$16</f>
        <v>1.329</v>
      </c>
      <c r="G10" s="74">
        <f>시평!F$16</f>
        <v>1.3520000000000001</v>
      </c>
      <c r="H10" s="74">
        <f>시평!G$16</f>
        <v>1.3660000000000001</v>
      </c>
      <c r="I10" s="74">
        <f>시평!H$16</f>
        <v>1.3580000000000001</v>
      </c>
      <c r="J10" s="74">
        <f>시평!I$16</f>
        <v>1.367</v>
      </c>
      <c r="K10" s="74">
        <f>시평!J$16</f>
        <v>1.369</v>
      </c>
      <c r="L10" s="74">
        <f>시평!K$16</f>
        <v>1.389</v>
      </c>
      <c r="M10" s="74">
        <f>시평!L$16</f>
        <v>1.4239999999999999</v>
      </c>
      <c r="N10" s="75">
        <f>시평!M$16</f>
        <v>1.4990000000000001</v>
      </c>
    </row>
    <row r="11" spans="1:14">
      <c r="A11" s="331" t="s">
        <v>70</v>
      </c>
      <c r="B11" s="332"/>
      <c r="C11" s="61">
        <f>시평!B$17</f>
        <v>1.4490000000000001</v>
      </c>
      <c r="D11" s="64">
        <f>시평!C$17</f>
        <v>1.401</v>
      </c>
      <c r="E11" s="64">
        <f>시평!D$17</f>
        <v>1.371</v>
      </c>
      <c r="F11" s="64">
        <f>시평!E$17</f>
        <v>1.3879999999999999</v>
      </c>
      <c r="G11" s="64">
        <f>시평!F$17</f>
        <v>1.415</v>
      </c>
      <c r="H11" s="64">
        <f>시평!G$17</f>
        <v>1.4370000000000001</v>
      </c>
      <c r="I11" s="64">
        <f>시평!H$17</f>
        <v>1.4350000000000001</v>
      </c>
      <c r="J11" s="64">
        <f>시평!I$17</f>
        <v>1.4430000000000001</v>
      </c>
      <c r="K11" s="64">
        <f>시평!J$17</f>
        <v>1.444</v>
      </c>
      <c r="L11" s="64">
        <f>시평!K$17</f>
        <v>1.4550000000000001</v>
      </c>
      <c r="M11" s="64">
        <f>시평!L$17</f>
        <v>1.4610000000000001</v>
      </c>
      <c r="N11" s="62">
        <f>시평!M$17</f>
        <v>1.546</v>
      </c>
    </row>
    <row r="12" spans="1:14">
      <c r="A12" s="342" t="s">
        <v>175</v>
      </c>
      <c r="B12" s="69" t="s">
        <v>176</v>
      </c>
      <c r="C12" s="54">
        <f>시평!B32</f>
        <v>1.492</v>
      </c>
      <c r="D12" s="56">
        <f>시평!C32</f>
        <v>1.4750000000000001</v>
      </c>
      <c r="E12" s="56">
        <f>시평!D32</f>
        <v>1.4410000000000001</v>
      </c>
      <c r="F12" s="56">
        <f>시평!E32</f>
        <v>1.4379999999999999</v>
      </c>
      <c r="G12" s="56">
        <f>시평!F32</f>
        <v>1.482</v>
      </c>
      <c r="H12" s="56">
        <f>시평!G32</f>
        <v>1.4990000000000001</v>
      </c>
      <c r="I12" s="56">
        <f>시평!H32</f>
        <v>1.4850000000000001</v>
      </c>
      <c r="J12" s="56">
        <f>시평!I32</f>
        <v>1.4910000000000001</v>
      </c>
      <c r="K12" s="56">
        <f>시평!J32</f>
        <v>1.488</v>
      </c>
      <c r="L12" s="56">
        <f>시평!K32</f>
        <v>1.5309999999999999</v>
      </c>
      <c r="M12" s="56">
        <f>시평!L32</f>
        <v>1.6140000000000001</v>
      </c>
      <c r="N12" s="55">
        <f>시평!M32</f>
        <v>1.913</v>
      </c>
    </row>
    <row r="13" spans="1:14" ht="13.5" customHeight="1">
      <c r="A13" s="343"/>
      <c r="B13" s="58" t="s">
        <v>84</v>
      </c>
      <c r="C13" s="57">
        <f>시평!B33</f>
        <v>1.5169999999999999</v>
      </c>
      <c r="D13" s="60">
        <f>시평!C33</f>
        <v>1.492</v>
      </c>
      <c r="E13" s="60">
        <f>시평!D33</f>
        <v>1.46</v>
      </c>
      <c r="F13" s="60">
        <f>시평!E33</f>
        <v>1.452</v>
      </c>
      <c r="G13" s="60">
        <f>시평!F33</f>
        <v>1.496</v>
      </c>
      <c r="H13" s="60">
        <f>시평!G33</f>
        <v>1.512</v>
      </c>
      <c r="I13" s="60">
        <f>시평!H33</f>
        <v>1.502</v>
      </c>
      <c r="J13" s="60">
        <f>시평!I33</f>
        <v>1.518</v>
      </c>
      <c r="K13" s="60">
        <f>시평!J33</f>
        <v>1.524</v>
      </c>
      <c r="L13" s="60">
        <f>시평!K33</f>
        <v>1.677</v>
      </c>
      <c r="M13" s="60">
        <f>시평!L33</f>
        <v>1.821</v>
      </c>
      <c r="N13" s="58">
        <f>시평!M33</f>
        <v>2.15</v>
      </c>
    </row>
    <row r="14" spans="1:14">
      <c r="A14" s="343"/>
      <c r="B14" s="58" t="s">
        <v>85</v>
      </c>
      <c r="C14" s="57">
        <f>시평!B34</f>
        <v>1.552</v>
      </c>
      <c r="D14" s="60">
        <f>시평!C34</f>
        <v>1.5269999999999999</v>
      </c>
      <c r="E14" s="60">
        <f>시평!D34</f>
        <v>1.4950000000000001</v>
      </c>
      <c r="F14" s="60">
        <f>시평!E34</f>
        <v>1.4950000000000001</v>
      </c>
      <c r="G14" s="60">
        <f>시평!F34</f>
        <v>1.5569999999999999</v>
      </c>
      <c r="H14" s="60">
        <f>시평!G34</f>
        <v>1.5860000000000001</v>
      </c>
      <c r="I14" s="60">
        <f>시평!H34</f>
        <v>1.581</v>
      </c>
      <c r="J14" s="60">
        <f>시평!I34</f>
        <v>1.5960000000000001</v>
      </c>
      <c r="K14" s="60">
        <f>시평!J34</f>
        <v>1.63</v>
      </c>
      <c r="L14" s="60">
        <f>시평!K34</f>
        <v>1.8</v>
      </c>
      <c r="M14" s="60">
        <f>시평!L34</f>
        <v>1.9930000000000001</v>
      </c>
      <c r="N14" s="58">
        <f>시평!M34</f>
        <v>2.3889999999999998</v>
      </c>
    </row>
    <row r="15" spans="1:14">
      <c r="A15" s="344"/>
      <c r="B15" s="62" t="s">
        <v>86</v>
      </c>
      <c r="C15" s="61">
        <f>시평!B35</f>
        <v>1.615</v>
      </c>
      <c r="D15" s="64">
        <f>시평!C35</f>
        <v>1.6</v>
      </c>
      <c r="E15" s="64">
        <f>시평!D35</f>
        <v>1.5720000000000001</v>
      </c>
      <c r="F15" s="64">
        <f>시평!E35</f>
        <v>1.5940000000000001</v>
      </c>
      <c r="G15" s="64">
        <f>시평!F35</f>
        <v>1.64</v>
      </c>
      <c r="H15" s="64">
        <f>시평!G35</f>
        <v>1.704</v>
      </c>
      <c r="I15" s="64">
        <f>시평!H35</f>
        <v>1.736</v>
      </c>
      <c r="J15" s="64">
        <f>시평!I35</f>
        <v>1.8640000000000001</v>
      </c>
      <c r="K15" s="64">
        <f>시평!J35</f>
        <v>1.998</v>
      </c>
      <c r="L15" s="64">
        <f>시평!K35</f>
        <v>2.1560000000000001</v>
      </c>
      <c r="M15" s="64">
        <f>시평!L35</f>
        <v>2.4849999999999999</v>
      </c>
      <c r="N15" s="62">
        <f>시평!M35</f>
        <v>2.8540000000000001</v>
      </c>
    </row>
    <row r="16" spans="1:14" ht="13.5" customHeight="1">
      <c r="A16" s="335" t="s">
        <v>83</v>
      </c>
      <c r="B16" s="67" t="s">
        <v>90</v>
      </c>
      <c r="C16" s="70">
        <f>시평!B52</f>
        <v>1.36</v>
      </c>
      <c r="D16" s="66">
        <f>시평!C52</f>
        <v>1.373</v>
      </c>
      <c r="E16" s="66">
        <f>시평!D52</f>
        <v>1.387</v>
      </c>
      <c r="F16" s="66">
        <f>시평!E52</f>
        <v>1.4039999999999999</v>
      </c>
      <c r="G16" s="66">
        <f>시평!F52</f>
        <v>1.427</v>
      </c>
      <c r="H16" s="66">
        <f>시평!G52</f>
        <v>1.45</v>
      </c>
      <c r="I16" s="66">
        <f>시평!H52</f>
        <v>1.452</v>
      </c>
      <c r="J16" s="66">
        <f>시평!I52</f>
        <v>1.4570000000000001</v>
      </c>
      <c r="K16" s="66">
        <f>시평!J52</f>
        <v>1.46</v>
      </c>
      <c r="L16" s="66">
        <f>시평!K52</f>
        <v>1.4650000000000001</v>
      </c>
      <c r="M16" s="66">
        <f>시평!L52</f>
        <v>1.464</v>
      </c>
      <c r="N16" s="67">
        <f>시평!M52</f>
        <v>1.5129999999999999</v>
      </c>
    </row>
    <row r="17" spans="1:14">
      <c r="A17" s="336"/>
      <c r="B17" s="58" t="s">
        <v>88</v>
      </c>
      <c r="C17" s="76">
        <f>시평!B53</f>
        <v>1.389</v>
      </c>
      <c r="D17" s="77">
        <f>시평!C53</f>
        <v>1.3979999999999999</v>
      </c>
      <c r="E17" s="77">
        <f>시평!D53</f>
        <v>1.4119999999999999</v>
      </c>
      <c r="F17" s="77">
        <f>시평!E53</f>
        <v>1.4279999999999999</v>
      </c>
      <c r="G17" s="77">
        <f>시평!F53</f>
        <v>1.4490000000000001</v>
      </c>
      <c r="H17" s="77">
        <f>시평!G53</f>
        <v>1.4730000000000001</v>
      </c>
      <c r="I17" s="77">
        <f>시평!H53</f>
        <v>1.478</v>
      </c>
      <c r="J17" s="77">
        <f>시평!I53</f>
        <v>1.484</v>
      </c>
      <c r="K17" s="77">
        <f>시평!J53</f>
        <v>1.488</v>
      </c>
      <c r="L17" s="77">
        <f>시평!K53</f>
        <v>1.5109999999999999</v>
      </c>
      <c r="M17" s="77">
        <f>시평!L53</f>
        <v>1.595</v>
      </c>
      <c r="N17" s="78">
        <f>시평!M53</f>
        <v>1.788</v>
      </c>
    </row>
    <row r="18" spans="1:14">
      <c r="A18" s="336"/>
      <c r="B18" s="58" t="s">
        <v>84</v>
      </c>
      <c r="C18" s="76">
        <f>시평!B54</f>
        <v>1.431</v>
      </c>
      <c r="D18" s="77">
        <f>시평!C54</f>
        <v>1.4390000000000001</v>
      </c>
      <c r="E18" s="77">
        <f>시평!D54</f>
        <v>1.45</v>
      </c>
      <c r="F18" s="77">
        <f>시평!E54</f>
        <v>1.464</v>
      </c>
      <c r="G18" s="77">
        <f>시평!F54</f>
        <v>1.484</v>
      </c>
      <c r="H18" s="77">
        <f>시평!G54</f>
        <v>1.51</v>
      </c>
      <c r="I18" s="77">
        <f>시평!H54</f>
        <v>1.514</v>
      </c>
      <c r="J18" s="77">
        <f>시평!I54</f>
        <v>1.5189999999999999</v>
      </c>
      <c r="K18" s="77">
        <f>시평!J54</f>
        <v>1.524</v>
      </c>
      <c r="L18" s="77">
        <f>시평!K54</f>
        <v>1.5720000000000001</v>
      </c>
      <c r="M18" s="77">
        <f>시평!L54</f>
        <v>1.7490000000000001</v>
      </c>
      <c r="N18" s="78">
        <f>시평!M54</f>
        <v>2.1739999999999999</v>
      </c>
    </row>
    <row r="19" spans="1:14">
      <c r="A19" s="336"/>
      <c r="B19" s="58" t="s">
        <v>85</v>
      </c>
      <c r="C19" s="76">
        <f>시평!B55</f>
        <v>1.46</v>
      </c>
      <c r="D19" s="77">
        <f>시평!C55</f>
        <v>1.468</v>
      </c>
      <c r="E19" s="77">
        <f>시평!D55</f>
        <v>1.48</v>
      </c>
      <c r="F19" s="77">
        <f>시평!E55</f>
        <v>1.494</v>
      </c>
      <c r="G19" s="77">
        <f>시평!F55</f>
        <v>1.5149999999999999</v>
      </c>
      <c r="H19" s="77">
        <f>시평!G55</f>
        <v>1.538</v>
      </c>
      <c r="I19" s="77">
        <f>시평!H55</f>
        <v>1.5409999999999999</v>
      </c>
      <c r="J19" s="77">
        <f>시평!I55</f>
        <v>1.546</v>
      </c>
      <c r="K19" s="77">
        <f>시평!J55</f>
        <v>1.59</v>
      </c>
      <c r="L19" s="77">
        <f>시평!K55</f>
        <v>1.677</v>
      </c>
      <c r="M19" s="77">
        <f>시평!L55</f>
        <v>1.9550000000000001</v>
      </c>
      <c r="N19" s="78">
        <f>시평!M55</f>
        <v>2.5249999999999999</v>
      </c>
    </row>
    <row r="20" spans="1:14">
      <c r="A20" s="336"/>
      <c r="B20" s="58" t="s">
        <v>86</v>
      </c>
      <c r="C20" s="76">
        <f>시평!B56</f>
        <v>1.516</v>
      </c>
      <c r="D20" s="77">
        <f>시평!C56</f>
        <v>1.5269999999999999</v>
      </c>
      <c r="E20" s="77">
        <f>시평!D56</f>
        <v>1.5369999999999999</v>
      </c>
      <c r="F20" s="77">
        <f>시평!E56</f>
        <v>1.5469999999999999</v>
      </c>
      <c r="G20" s="77">
        <f>시평!F56</f>
        <v>1.571</v>
      </c>
      <c r="H20" s="77">
        <f>시평!G56</f>
        <v>1.597</v>
      </c>
      <c r="I20" s="77">
        <f>시평!H56</f>
        <v>1.6080000000000001</v>
      </c>
      <c r="J20" s="77">
        <f>시평!I56</f>
        <v>1.7190000000000001</v>
      </c>
      <c r="K20" s="77">
        <f>시평!J56</f>
        <v>1.8380000000000001</v>
      </c>
      <c r="L20" s="77">
        <f>시평!K56</f>
        <v>2.073</v>
      </c>
      <c r="M20" s="77">
        <f>시평!L56</f>
        <v>2.3610000000000002</v>
      </c>
      <c r="N20" s="78">
        <f>시평!M56</f>
        <v>2.931</v>
      </c>
    </row>
    <row r="21" spans="1:14">
      <c r="A21" s="336"/>
      <c r="B21" s="58" t="s">
        <v>91</v>
      </c>
      <c r="C21" s="76">
        <f>시평!B57</f>
        <v>1.6619999999999999</v>
      </c>
      <c r="D21" s="77">
        <f>시평!C57</f>
        <v>1.679</v>
      </c>
      <c r="E21" s="77">
        <f>시평!D57</f>
        <v>1.696</v>
      </c>
      <c r="F21" s="77">
        <f>시평!E57</f>
        <v>1.71</v>
      </c>
      <c r="G21" s="77">
        <f>시평!F57</f>
        <v>1.738</v>
      </c>
      <c r="H21" s="77">
        <f>시평!G57</f>
        <v>1.7709999999999999</v>
      </c>
      <c r="I21" s="77">
        <f>시평!H57</f>
        <v>1.82</v>
      </c>
      <c r="J21" s="77">
        <f>시평!I57</f>
        <v>1.9870000000000001</v>
      </c>
      <c r="K21" s="77">
        <f>시평!J57</f>
        <v>2.1850000000000001</v>
      </c>
      <c r="L21" s="77">
        <f>시평!K57</f>
        <v>2.4860000000000002</v>
      </c>
      <c r="M21" s="77">
        <f>시평!L57</f>
        <v>2.7949999999999999</v>
      </c>
      <c r="N21" s="78">
        <f>시평!M57</f>
        <v>3.3849999999999998</v>
      </c>
    </row>
    <row r="22" spans="1:14">
      <c r="A22" s="337"/>
      <c r="B22" s="62" t="s">
        <v>92</v>
      </c>
      <c r="C22" s="79">
        <f>시평!B58</f>
        <v>1.8859999999999999</v>
      </c>
      <c r="D22" s="80">
        <f>시평!C58</f>
        <v>1.9179999999999999</v>
      </c>
      <c r="E22" s="80">
        <f>시평!D58</f>
        <v>1.9430000000000001</v>
      </c>
      <c r="F22" s="80">
        <f>시평!E58</f>
        <v>1.9710000000000001</v>
      </c>
      <c r="G22" s="80">
        <f>시평!F58</f>
        <v>2.0150000000000001</v>
      </c>
      <c r="H22" s="80">
        <f>시평!G58</f>
        <v>2.1</v>
      </c>
      <c r="I22" s="80">
        <f>시평!H58</f>
        <v>2.218</v>
      </c>
      <c r="J22" s="80">
        <f>시평!I58</f>
        <v>2.4289999999999998</v>
      </c>
      <c r="K22" s="80">
        <f>시평!J58</f>
        <v>2.6829999999999998</v>
      </c>
      <c r="L22" s="80">
        <f>시평!K58</f>
        <v>3.0710000000000002</v>
      </c>
      <c r="M22" s="80">
        <f>시평!L58</f>
        <v>3.3290000000000002</v>
      </c>
      <c r="N22" s="71">
        <f>시평!M58</f>
        <v>3.899</v>
      </c>
    </row>
    <row r="23" spans="1:14">
      <c r="A23" s="329" t="s">
        <v>160</v>
      </c>
      <c r="B23" s="330"/>
      <c r="C23" s="93" t="s">
        <v>166</v>
      </c>
      <c r="D23" s="94" t="s">
        <v>167</v>
      </c>
      <c r="E23" s="94" t="s">
        <v>168</v>
      </c>
      <c r="F23" s="94" t="s">
        <v>169</v>
      </c>
      <c r="G23" s="94" t="s">
        <v>170</v>
      </c>
      <c r="H23" s="94" t="s">
        <v>171</v>
      </c>
      <c r="I23" s="94" t="s">
        <v>47</v>
      </c>
      <c r="J23" s="94" t="s">
        <v>172</v>
      </c>
      <c r="K23" s="94" t="s">
        <v>48</v>
      </c>
      <c r="L23" s="94" t="s">
        <v>50</v>
      </c>
      <c r="M23" s="94" t="s">
        <v>52</v>
      </c>
      <c r="N23" s="125"/>
    </row>
    <row r="24" spans="1:14">
      <c r="A24" s="229" t="s">
        <v>159</v>
      </c>
      <c r="B24" s="230" t="s">
        <v>90</v>
      </c>
      <c r="C24" s="306">
        <v>1.47</v>
      </c>
      <c r="D24" s="306">
        <v>1.47</v>
      </c>
      <c r="E24" s="306" t="s">
        <v>34</v>
      </c>
      <c r="F24" s="306">
        <v>1.48</v>
      </c>
      <c r="G24" s="306">
        <v>1.48</v>
      </c>
      <c r="H24" s="306">
        <v>1.48</v>
      </c>
      <c r="I24" s="306">
        <v>1.49</v>
      </c>
      <c r="J24" s="306">
        <v>1.49</v>
      </c>
      <c r="K24" s="306">
        <v>1.48</v>
      </c>
      <c r="L24" s="306">
        <v>1.51</v>
      </c>
      <c r="M24" s="306">
        <v>1.51</v>
      </c>
      <c r="N24" s="133"/>
    </row>
    <row r="25" spans="1:14">
      <c r="C25" s="124"/>
    </row>
    <row r="68" spans="26:26">
      <c r="Z68" s="50">
        <f ca="1">TODAY()</f>
        <v>43706</v>
      </c>
    </row>
  </sheetData>
  <mergeCells count="14">
    <mergeCell ref="A5:B5"/>
    <mergeCell ref="A2:B2"/>
    <mergeCell ref="A3:B3"/>
    <mergeCell ref="A1:B1"/>
    <mergeCell ref="A6:B6"/>
    <mergeCell ref="A4:B4"/>
    <mergeCell ref="A23:B23"/>
    <mergeCell ref="A7:B7"/>
    <mergeCell ref="A8:B8"/>
    <mergeCell ref="A16:A22"/>
    <mergeCell ref="A9:B9"/>
    <mergeCell ref="A11:B11"/>
    <mergeCell ref="A10:B10"/>
    <mergeCell ref="A12:A1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Z106"/>
  <sheetViews>
    <sheetView topLeftCell="A64" workbookViewId="0">
      <selection activeCell="A64" sqref="A1:IV65536"/>
    </sheetView>
  </sheetViews>
  <sheetFormatPr defaultRowHeight="13.5"/>
  <cols>
    <col min="1" max="16384" width="8.88671875" style="81"/>
  </cols>
  <sheetData>
    <row r="1" spans="1:26">
      <c r="A1" s="81" t="s">
        <v>0</v>
      </c>
      <c r="B1" s="81" t="s">
        <v>12</v>
      </c>
      <c r="C1" s="81" t="s">
        <v>13</v>
      </c>
      <c r="D1" s="81" t="s">
        <v>279</v>
      </c>
      <c r="E1" s="81" t="s">
        <v>13</v>
      </c>
      <c r="F1" s="81" t="s">
        <v>14</v>
      </c>
      <c r="G1" s="81" t="s">
        <v>15</v>
      </c>
      <c r="H1" s="81" t="s">
        <v>16</v>
      </c>
      <c r="I1" s="81" t="s">
        <v>17</v>
      </c>
      <c r="J1" s="81" t="s">
        <v>18</v>
      </c>
      <c r="K1" s="81" t="s">
        <v>19</v>
      </c>
      <c r="L1" s="81" t="s">
        <v>20</v>
      </c>
      <c r="M1" s="81" t="s">
        <v>21</v>
      </c>
      <c r="N1" s="81" t="s">
        <v>22</v>
      </c>
      <c r="O1" s="81" t="s">
        <v>23</v>
      </c>
      <c r="P1" s="81" t="s">
        <v>24</v>
      </c>
      <c r="Q1" s="81" t="s">
        <v>25</v>
      </c>
      <c r="R1" s="81" t="s">
        <v>26</v>
      </c>
      <c r="S1" s="81" t="s">
        <v>200</v>
      </c>
      <c r="T1" s="81" t="s">
        <v>27</v>
      </c>
      <c r="U1" s="81" t="s">
        <v>28</v>
      </c>
      <c r="V1" s="81" t="s">
        <v>29</v>
      </c>
      <c r="W1" s="81" t="s">
        <v>201</v>
      </c>
      <c r="X1" s="81" t="s">
        <v>30</v>
      </c>
      <c r="Y1" s="81" t="s">
        <v>31</v>
      </c>
      <c r="Z1" s="81" t="s">
        <v>32</v>
      </c>
    </row>
    <row r="2" spans="1:26">
      <c r="A2" s="81" t="s">
        <v>473</v>
      </c>
      <c r="B2" s="82">
        <v>43626</v>
      </c>
      <c r="C2" s="81" t="s">
        <v>40</v>
      </c>
      <c r="D2" s="82">
        <v>44722</v>
      </c>
      <c r="E2" s="81" t="s">
        <v>10</v>
      </c>
      <c r="F2" s="81" t="s">
        <v>587</v>
      </c>
      <c r="G2" s="83">
        <v>6540000</v>
      </c>
      <c r="H2" s="83">
        <v>6540000</v>
      </c>
      <c r="I2" s="81" t="s">
        <v>33</v>
      </c>
      <c r="J2" s="81">
        <v>6</v>
      </c>
      <c r="K2" s="81">
        <v>1.625</v>
      </c>
      <c r="L2" s="81" t="s">
        <v>34</v>
      </c>
      <c r="M2" s="81" t="s">
        <v>34</v>
      </c>
      <c r="N2" s="81" t="s">
        <v>35</v>
      </c>
      <c r="O2" s="81" t="s">
        <v>36</v>
      </c>
      <c r="P2" s="81" t="s">
        <v>37</v>
      </c>
      <c r="Q2" s="81" t="s">
        <v>38</v>
      </c>
      <c r="R2" s="81" t="s">
        <v>39</v>
      </c>
      <c r="S2" s="81">
        <v>1.155</v>
      </c>
      <c r="T2" s="81">
        <v>10162.549999999999</v>
      </c>
      <c r="U2" s="81">
        <v>10128.56</v>
      </c>
      <c r="V2" s="81" t="s">
        <v>60</v>
      </c>
      <c r="W2" s="81">
        <v>1010000</v>
      </c>
      <c r="X2" s="81">
        <v>2.7158000000000002</v>
      </c>
      <c r="Y2" s="81">
        <v>2.7296999999999998</v>
      </c>
      <c r="Z2" s="81" t="s">
        <v>474</v>
      </c>
    </row>
    <row r="3" spans="1:26">
      <c r="A3" s="81" t="s">
        <v>430</v>
      </c>
      <c r="B3" s="82">
        <v>43444</v>
      </c>
      <c r="C3" s="81" t="s">
        <v>40</v>
      </c>
      <c r="D3" s="82">
        <v>44540</v>
      </c>
      <c r="E3" s="81" t="s">
        <v>10</v>
      </c>
      <c r="F3" s="81" t="s">
        <v>588</v>
      </c>
      <c r="G3" s="83">
        <v>9943000</v>
      </c>
      <c r="H3" s="83">
        <v>9943000</v>
      </c>
      <c r="I3" s="81" t="s">
        <v>33</v>
      </c>
      <c r="J3" s="81">
        <v>6</v>
      </c>
      <c r="K3" s="81">
        <v>2</v>
      </c>
      <c r="L3" s="81" t="s">
        <v>34</v>
      </c>
      <c r="M3" s="81" t="s">
        <v>34</v>
      </c>
      <c r="N3" s="81" t="s">
        <v>35</v>
      </c>
      <c r="O3" s="81" t="s">
        <v>36</v>
      </c>
      <c r="P3" s="81" t="s">
        <v>37</v>
      </c>
      <c r="Q3" s="81" t="s">
        <v>38</v>
      </c>
      <c r="R3" s="81" t="s">
        <v>39</v>
      </c>
      <c r="S3" s="81">
        <v>1.1879999999999999</v>
      </c>
      <c r="T3" s="81">
        <v>10224.83</v>
      </c>
      <c r="U3" s="81">
        <v>10182.99</v>
      </c>
      <c r="V3" s="81" t="s">
        <v>60</v>
      </c>
      <c r="W3" s="81">
        <v>1010000</v>
      </c>
      <c r="X3" s="81">
        <v>2.2288999999999999</v>
      </c>
      <c r="Y3" s="81">
        <v>2.2418999999999998</v>
      </c>
      <c r="Z3" s="81" t="s">
        <v>431</v>
      </c>
    </row>
    <row r="4" spans="1:26">
      <c r="A4" s="81" t="s">
        <v>350</v>
      </c>
      <c r="B4" s="82">
        <v>43261</v>
      </c>
      <c r="C4" s="81" t="s">
        <v>13</v>
      </c>
      <c r="D4" s="82">
        <v>44357</v>
      </c>
      <c r="E4" s="81" t="s">
        <v>4</v>
      </c>
      <c r="F4" s="81" t="s">
        <v>589</v>
      </c>
      <c r="G4" s="83">
        <v>9469000</v>
      </c>
      <c r="H4" s="83">
        <v>9469000</v>
      </c>
      <c r="I4" s="81" t="s">
        <v>33</v>
      </c>
      <c r="J4" s="81">
        <v>6</v>
      </c>
      <c r="K4" s="81">
        <v>2.25</v>
      </c>
      <c r="L4" s="81" t="s">
        <v>34</v>
      </c>
      <c r="M4" s="81" t="s">
        <v>34</v>
      </c>
      <c r="N4" s="81" t="s">
        <v>35</v>
      </c>
      <c r="O4" s="81" t="s">
        <v>36</v>
      </c>
      <c r="P4" s="81" t="s">
        <v>37</v>
      </c>
      <c r="Q4" s="81" t="s">
        <v>38</v>
      </c>
      <c r="R4" s="81" t="s">
        <v>39</v>
      </c>
      <c r="S4" s="81">
        <v>1.18</v>
      </c>
      <c r="T4" s="81">
        <v>10236.14</v>
      </c>
      <c r="U4" s="81">
        <v>10188.81</v>
      </c>
      <c r="V4" s="81" t="s">
        <v>60</v>
      </c>
      <c r="W4" s="81">
        <v>1010000</v>
      </c>
      <c r="X4" s="81">
        <v>1.7474000000000001</v>
      </c>
      <c r="Y4" s="81">
        <v>1.7563</v>
      </c>
      <c r="Z4" s="81" t="s">
        <v>351</v>
      </c>
    </row>
    <row r="5" spans="1:26">
      <c r="A5" s="81" t="s">
        <v>320</v>
      </c>
      <c r="B5" s="82">
        <v>43079</v>
      </c>
      <c r="C5" s="81" t="s">
        <v>13</v>
      </c>
      <c r="D5" s="82">
        <v>44175</v>
      </c>
      <c r="E5" s="81" t="s">
        <v>4</v>
      </c>
      <c r="F5" s="81" t="s">
        <v>590</v>
      </c>
      <c r="G5" s="83">
        <v>10705000</v>
      </c>
      <c r="H5" s="83">
        <v>10595000</v>
      </c>
      <c r="I5" s="81" t="s">
        <v>33</v>
      </c>
      <c r="J5" s="81">
        <v>6</v>
      </c>
      <c r="K5" s="81">
        <v>1.75</v>
      </c>
      <c r="L5" s="81" t="s">
        <v>34</v>
      </c>
      <c r="M5" s="81" t="s">
        <v>34</v>
      </c>
      <c r="N5" s="81" t="s">
        <v>35</v>
      </c>
      <c r="O5" s="81" t="s">
        <v>36</v>
      </c>
      <c r="P5" s="81" t="s">
        <v>37</v>
      </c>
      <c r="Q5" s="81" t="s">
        <v>38</v>
      </c>
      <c r="R5" s="81" t="s">
        <v>39</v>
      </c>
      <c r="S5" s="81">
        <v>1.135</v>
      </c>
      <c r="T5" s="81">
        <v>10115.18</v>
      </c>
      <c r="U5" s="81">
        <v>10078.16</v>
      </c>
      <c r="V5" s="81" t="s">
        <v>60</v>
      </c>
      <c r="W5" s="81">
        <v>1010000</v>
      </c>
      <c r="X5" s="81">
        <v>1.2702</v>
      </c>
      <c r="Y5" s="81">
        <v>1.2774000000000001</v>
      </c>
      <c r="Z5" s="81" t="s">
        <v>321</v>
      </c>
    </row>
    <row r="6" spans="1:26">
      <c r="A6" s="81" t="s">
        <v>298</v>
      </c>
      <c r="B6" s="82">
        <v>42896</v>
      </c>
      <c r="C6" s="81" t="s">
        <v>11</v>
      </c>
      <c r="D6" s="82">
        <v>43992</v>
      </c>
      <c r="E6" s="81" t="s">
        <v>5</v>
      </c>
      <c r="F6" s="81" t="s">
        <v>591</v>
      </c>
      <c r="G6" s="83">
        <v>9423000</v>
      </c>
      <c r="H6" s="83">
        <v>7539000</v>
      </c>
      <c r="I6" s="81" t="s">
        <v>33</v>
      </c>
      <c r="J6" s="81">
        <v>6</v>
      </c>
      <c r="K6" s="81">
        <v>1.75</v>
      </c>
      <c r="L6" s="81" t="s">
        <v>34</v>
      </c>
      <c r="M6" s="81" t="s">
        <v>34</v>
      </c>
      <c r="N6" s="81" t="s">
        <v>35</v>
      </c>
      <c r="O6" s="81" t="s">
        <v>36</v>
      </c>
      <c r="P6" s="81" t="s">
        <v>37</v>
      </c>
      <c r="Q6" s="81" t="s">
        <v>38</v>
      </c>
      <c r="R6" s="81" t="s">
        <v>39</v>
      </c>
      <c r="S6" s="81">
        <v>1.1100000000000001</v>
      </c>
      <c r="T6" s="81">
        <v>10086.89</v>
      </c>
      <c r="U6" s="81">
        <v>10050.08</v>
      </c>
      <c r="V6" s="81" t="s">
        <v>60</v>
      </c>
      <c r="W6" s="81">
        <v>1010000</v>
      </c>
      <c r="X6" s="81">
        <v>0.78159999999999996</v>
      </c>
      <c r="Y6" s="81">
        <v>0.78520000000000001</v>
      </c>
      <c r="Z6" s="81" t="s">
        <v>299</v>
      </c>
    </row>
    <row r="7" spans="1:26">
      <c r="A7" s="81" t="s">
        <v>282</v>
      </c>
      <c r="B7" s="82">
        <v>42714</v>
      </c>
      <c r="C7" s="81" t="s">
        <v>11</v>
      </c>
      <c r="D7" s="82">
        <v>43809</v>
      </c>
      <c r="E7" s="81" t="s">
        <v>6</v>
      </c>
      <c r="F7" s="81" t="s">
        <v>578</v>
      </c>
      <c r="G7" s="83">
        <v>11710000</v>
      </c>
      <c r="H7" s="83">
        <v>6599000</v>
      </c>
      <c r="I7" s="81" t="s">
        <v>33</v>
      </c>
      <c r="J7" s="81">
        <v>6</v>
      </c>
      <c r="K7" s="81">
        <v>1.25</v>
      </c>
      <c r="L7" s="81" t="s">
        <v>34</v>
      </c>
      <c r="M7" s="81" t="s">
        <v>34</v>
      </c>
      <c r="N7" s="81" t="s">
        <v>35</v>
      </c>
      <c r="O7" s="81" t="s">
        <v>36</v>
      </c>
      <c r="P7" s="81" t="s">
        <v>37</v>
      </c>
      <c r="Q7" s="81" t="s">
        <v>38</v>
      </c>
      <c r="R7" s="81" t="s">
        <v>39</v>
      </c>
      <c r="S7" s="81">
        <v>1.2050000000000001</v>
      </c>
      <c r="T7" s="81">
        <v>10027.48</v>
      </c>
      <c r="U7" s="81">
        <v>10001.15</v>
      </c>
      <c r="V7" s="81" t="s">
        <v>60</v>
      </c>
      <c r="W7" s="81">
        <v>1010000</v>
      </c>
      <c r="X7" s="81">
        <v>0.28860000000000002</v>
      </c>
      <c r="Y7" s="81">
        <v>0.28960000000000002</v>
      </c>
      <c r="Z7" s="81" t="s">
        <v>283</v>
      </c>
    </row>
    <row r="8" spans="1:26">
      <c r="A8" s="81" t="s">
        <v>34</v>
      </c>
      <c r="B8" s="81" t="s">
        <v>34</v>
      </c>
      <c r="D8" s="81" t="s">
        <v>34</v>
      </c>
      <c r="F8" s="81" t="s">
        <v>34</v>
      </c>
      <c r="G8" s="81" t="s">
        <v>34</v>
      </c>
      <c r="H8" s="81" t="s">
        <v>34</v>
      </c>
      <c r="I8" s="81" t="s">
        <v>34</v>
      </c>
      <c r="J8" s="81" t="s">
        <v>34</v>
      </c>
      <c r="K8" s="81">
        <v>1.5</v>
      </c>
      <c r="L8" s="81" t="s">
        <v>34</v>
      </c>
      <c r="M8" s="81" t="s">
        <v>34</v>
      </c>
      <c r="N8" s="81" t="s">
        <v>35</v>
      </c>
      <c r="O8" s="81" t="s">
        <v>34</v>
      </c>
      <c r="P8" s="81" t="s">
        <v>271</v>
      </c>
      <c r="Q8" s="81" t="s">
        <v>34</v>
      </c>
      <c r="R8" s="81" t="s">
        <v>34</v>
      </c>
      <c r="S8" s="81" t="s">
        <v>34</v>
      </c>
      <c r="T8" s="81" t="s">
        <v>34</v>
      </c>
      <c r="V8" s="81" t="s">
        <v>34</v>
      </c>
      <c r="W8" s="81" t="s">
        <v>34</v>
      </c>
      <c r="X8" s="81" t="s">
        <v>34</v>
      </c>
      <c r="Y8" s="81" t="s">
        <v>34</v>
      </c>
      <c r="Z8" s="81" t="s">
        <v>34</v>
      </c>
    </row>
    <row r="9" spans="1:26">
      <c r="A9" s="81" t="s">
        <v>529</v>
      </c>
      <c r="B9" s="82">
        <v>43718</v>
      </c>
      <c r="C9" s="81" t="s">
        <v>6</v>
      </c>
      <c r="D9" s="82">
        <v>45545</v>
      </c>
      <c r="E9" s="81" t="s">
        <v>6</v>
      </c>
      <c r="F9" s="81" t="s">
        <v>592</v>
      </c>
      <c r="G9" s="83">
        <v>1234000</v>
      </c>
      <c r="H9" s="83">
        <v>1234000</v>
      </c>
      <c r="I9" s="81" t="s">
        <v>33</v>
      </c>
      <c r="J9" s="81">
        <v>6</v>
      </c>
      <c r="K9" s="81">
        <v>1.375</v>
      </c>
      <c r="L9" s="81" t="s">
        <v>34</v>
      </c>
      <c r="M9" s="81" t="s">
        <v>34</v>
      </c>
      <c r="N9" s="81" t="s">
        <v>35</v>
      </c>
      <c r="O9" s="81" t="s">
        <v>36</v>
      </c>
      <c r="P9" s="81" t="s">
        <v>37</v>
      </c>
      <c r="Q9" s="81" t="s">
        <v>38</v>
      </c>
      <c r="R9" s="81" t="s">
        <v>39</v>
      </c>
      <c r="S9" s="81">
        <v>1.1839999999999999</v>
      </c>
      <c r="T9" s="81">
        <v>10087.26</v>
      </c>
      <c r="U9" s="81">
        <v>10086.120000000001</v>
      </c>
      <c r="V9" s="81" t="s">
        <v>60</v>
      </c>
      <c r="W9" s="81">
        <v>1010000</v>
      </c>
      <c r="X9" s="81">
        <v>4.8647999999999998</v>
      </c>
      <c r="Y9" s="81">
        <v>4.8909000000000002</v>
      </c>
      <c r="Z9" s="81" t="s">
        <v>530</v>
      </c>
    </row>
    <row r="10" spans="1:26">
      <c r="A10" s="81" t="s">
        <v>456</v>
      </c>
      <c r="B10" s="82">
        <v>43534</v>
      </c>
      <c r="C10" s="81" t="s">
        <v>13</v>
      </c>
      <c r="D10" s="82">
        <v>45361</v>
      </c>
      <c r="E10" s="81" t="s">
        <v>13</v>
      </c>
      <c r="F10" s="81" t="s">
        <v>593</v>
      </c>
      <c r="G10" s="83">
        <v>10675000</v>
      </c>
      <c r="H10" s="83">
        <v>10675000</v>
      </c>
      <c r="I10" s="81" t="s">
        <v>33</v>
      </c>
      <c r="J10" s="81">
        <v>6</v>
      </c>
      <c r="K10" s="81">
        <v>1.875</v>
      </c>
      <c r="L10" s="81" t="s">
        <v>34</v>
      </c>
      <c r="M10" s="81" t="s">
        <v>34</v>
      </c>
      <c r="N10" s="81" t="s">
        <v>35</v>
      </c>
      <c r="O10" s="81" t="s">
        <v>36</v>
      </c>
      <c r="P10" s="81" t="s">
        <v>37</v>
      </c>
      <c r="Q10" s="81" t="s">
        <v>38</v>
      </c>
      <c r="R10" s="81" t="s">
        <v>39</v>
      </c>
      <c r="S10" s="81">
        <v>1.2030000000000001</v>
      </c>
      <c r="T10" s="81">
        <v>10382.15</v>
      </c>
      <c r="U10" s="81">
        <v>10295.16</v>
      </c>
      <c r="V10" s="81" t="s">
        <v>60</v>
      </c>
      <c r="W10" s="81">
        <v>1010000</v>
      </c>
      <c r="X10" s="81">
        <v>4.3170999999999999</v>
      </c>
      <c r="Y10" s="81">
        <v>4.3384</v>
      </c>
      <c r="Z10" s="81" t="s">
        <v>457</v>
      </c>
    </row>
    <row r="11" spans="1:26">
      <c r="A11" s="81" t="s">
        <v>367</v>
      </c>
      <c r="B11" s="82">
        <v>43353</v>
      </c>
      <c r="C11" s="81" t="s">
        <v>40</v>
      </c>
      <c r="D11" s="82">
        <v>45179</v>
      </c>
      <c r="E11" s="81" t="s">
        <v>13</v>
      </c>
      <c r="F11" s="81" t="s">
        <v>594</v>
      </c>
      <c r="G11" s="83">
        <v>7342000</v>
      </c>
      <c r="H11" s="83">
        <v>7342000</v>
      </c>
      <c r="I11" s="81" t="s">
        <v>33</v>
      </c>
      <c r="J11" s="81">
        <v>6</v>
      </c>
      <c r="K11" s="81">
        <v>2.25</v>
      </c>
      <c r="L11" s="81" t="s">
        <v>34</v>
      </c>
      <c r="M11" s="81" t="s">
        <v>34</v>
      </c>
      <c r="N11" s="81" t="s">
        <v>35</v>
      </c>
      <c r="O11" s="81" t="s">
        <v>36</v>
      </c>
      <c r="P11" s="81" t="s">
        <v>37</v>
      </c>
      <c r="Q11" s="81" t="s">
        <v>38</v>
      </c>
      <c r="R11" s="81" t="s">
        <v>39</v>
      </c>
      <c r="S11" s="81">
        <v>1.21</v>
      </c>
      <c r="T11" s="81">
        <v>10512.21</v>
      </c>
      <c r="U11" s="81">
        <v>10408.89</v>
      </c>
      <c r="V11" s="81" t="s">
        <v>60</v>
      </c>
      <c r="W11" s="81">
        <v>1010000</v>
      </c>
      <c r="X11" s="81">
        <v>3.8292999999999999</v>
      </c>
      <c r="Y11" s="81">
        <v>3.8509000000000002</v>
      </c>
      <c r="Z11" s="81" t="s">
        <v>368</v>
      </c>
    </row>
    <row r="12" spans="1:26">
      <c r="A12" s="81" t="s">
        <v>335</v>
      </c>
      <c r="B12" s="82">
        <v>43169</v>
      </c>
      <c r="C12" s="81" t="s">
        <v>11</v>
      </c>
      <c r="D12" s="82">
        <v>44995</v>
      </c>
      <c r="E12" s="81" t="s">
        <v>10</v>
      </c>
      <c r="F12" s="81" t="s">
        <v>595</v>
      </c>
      <c r="G12" s="83">
        <v>12566000</v>
      </c>
      <c r="H12" s="83">
        <v>12566000</v>
      </c>
      <c r="I12" s="81" t="s">
        <v>33</v>
      </c>
      <c r="J12" s="81">
        <v>6</v>
      </c>
      <c r="K12" s="81">
        <v>2.375</v>
      </c>
      <c r="L12" s="81" t="s">
        <v>34</v>
      </c>
      <c r="M12" s="81" t="s">
        <v>34</v>
      </c>
      <c r="N12" s="81" t="s">
        <v>35</v>
      </c>
      <c r="O12" s="81" t="s">
        <v>36</v>
      </c>
      <c r="P12" s="81" t="s">
        <v>37</v>
      </c>
      <c r="Q12" s="81" t="s">
        <v>38</v>
      </c>
      <c r="R12" s="81" t="s">
        <v>39</v>
      </c>
      <c r="S12" s="81">
        <v>1.2070000000000001</v>
      </c>
      <c r="T12" s="81">
        <v>10512.68</v>
      </c>
      <c r="U12" s="81">
        <v>10403.620000000001</v>
      </c>
      <c r="V12" s="81" t="s">
        <v>60</v>
      </c>
      <c r="W12" s="81">
        <v>1010000</v>
      </c>
      <c r="X12" s="81">
        <v>3.3654000000000002</v>
      </c>
      <c r="Y12" s="81">
        <v>3.3809</v>
      </c>
      <c r="Z12" s="81" t="s">
        <v>336</v>
      </c>
    </row>
    <row r="13" spans="1:26">
      <c r="A13" s="81" t="s">
        <v>311</v>
      </c>
      <c r="B13" s="82">
        <v>42988</v>
      </c>
      <c r="C13" s="81" t="s">
        <v>13</v>
      </c>
      <c r="D13" s="82">
        <v>44814</v>
      </c>
      <c r="E13" s="81" t="s">
        <v>11</v>
      </c>
      <c r="F13" s="81" t="s">
        <v>596</v>
      </c>
      <c r="G13" s="83">
        <v>9626000</v>
      </c>
      <c r="H13" s="83">
        <v>9626000</v>
      </c>
      <c r="I13" s="81" t="s">
        <v>33</v>
      </c>
      <c r="J13" s="81">
        <v>6</v>
      </c>
      <c r="K13" s="81">
        <v>2</v>
      </c>
      <c r="L13" s="81" t="s">
        <v>34</v>
      </c>
      <c r="M13" s="81" t="s">
        <v>34</v>
      </c>
      <c r="N13" s="81" t="s">
        <v>35</v>
      </c>
      <c r="O13" s="81" t="s">
        <v>36</v>
      </c>
      <c r="P13" s="81" t="s">
        <v>37</v>
      </c>
      <c r="Q13" s="81" t="s">
        <v>38</v>
      </c>
      <c r="R13" s="81" t="s">
        <v>39</v>
      </c>
      <c r="S13" s="81">
        <v>1.194</v>
      </c>
      <c r="T13" s="81">
        <v>10331.790000000001</v>
      </c>
      <c r="U13" s="81">
        <v>10239.65</v>
      </c>
      <c r="V13" s="81" t="s">
        <v>60</v>
      </c>
      <c r="W13" s="81">
        <v>1010000</v>
      </c>
      <c r="X13" s="81">
        <v>2.9236</v>
      </c>
      <c r="Y13" s="81">
        <v>2.9403999999999999</v>
      </c>
      <c r="Z13" s="81" t="s">
        <v>310</v>
      </c>
    </row>
    <row r="14" spans="1:26">
      <c r="A14" s="81" t="s">
        <v>288</v>
      </c>
      <c r="B14" s="82">
        <v>42804</v>
      </c>
      <c r="C14" s="81" t="s">
        <v>10</v>
      </c>
      <c r="D14" s="82">
        <v>44630</v>
      </c>
      <c r="E14" s="81" t="s">
        <v>4</v>
      </c>
      <c r="F14" s="81" t="s">
        <v>597</v>
      </c>
      <c r="G14" s="83">
        <v>13790000</v>
      </c>
      <c r="H14" s="83">
        <v>13346000</v>
      </c>
      <c r="I14" s="81" t="s">
        <v>33</v>
      </c>
      <c r="J14" s="81">
        <v>6</v>
      </c>
      <c r="K14" s="81">
        <v>1.875</v>
      </c>
      <c r="L14" s="81" t="s">
        <v>34</v>
      </c>
      <c r="M14" s="81" t="s">
        <v>34</v>
      </c>
      <c r="N14" s="81" t="s">
        <v>35</v>
      </c>
      <c r="O14" s="81" t="s">
        <v>36</v>
      </c>
      <c r="P14" s="81" t="s">
        <v>37</v>
      </c>
      <c r="Q14" s="81" t="s">
        <v>38</v>
      </c>
      <c r="R14" s="81" t="s">
        <v>39</v>
      </c>
      <c r="S14" s="81">
        <v>1.1919999999999999</v>
      </c>
      <c r="T14" s="81">
        <v>10256.5</v>
      </c>
      <c r="U14" s="81">
        <v>10170.4</v>
      </c>
      <c r="V14" s="81" t="s">
        <v>60</v>
      </c>
      <c r="W14" s="81">
        <v>1010000</v>
      </c>
      <c r="X14" s="81">
        <v>2.4586999999999999</v>
      </c>
      <c r="Y14" s="81">
        <v>2.4691000000000001</v>
      </c>
      <c r="Z14" s="81" t="s">
        <v>289</v>
      </c>
    </row>
    <row r="15" spans="1:26">
      <c r="A15" s="81" t="s">
        <v>275</v>
      </c>
      <c r="B15" s="82">
        <v>42623</v>
      </c>
      <c r="C15" s="81" t="s">
        <v>11</v>
      </c>
      <c r="D15" s="82">
        <v>44449</v>
      </c>
      <c r="E15" s="81" t="s">
        <v>10</v>
      </c>
      <c r="F15" s="81" t="s">
        <v>598</v>
      </c>
      <c r="G15" s="83">
        <v>10077000</v>
      </c>
      <c r="H15" s="83">
        <v>9553000</v>
      </c>
      <c r="I15" s="81" t="s">
        <v>33</v>
      </c>
      <c r="J15" s="81">
        <v>6</v>
      </c>
      <c r="K15" s="81">
        <v>1.375</v>
      </c>
      <c r="L15" s="81" t="s">
        <v>34</v>
      </c>
      <c r="M15" s="81" t="s">
        <v>34</v>
      </c>
      <c r="N15" s="81" t="s">
        <v>35</v>
      </c>
      <c r="O15" s="81" t="s">
        <v>36</v>
      </c>
      <c r="P15" s="81" t="s">
        <v>37</v>
      </c>
      <c r="Q15" s="81" t="s">
        <v>38</v>
      </c>
      <c r="R15" s="81" t="s">
        <v>39</v>
      </c>
      <c r="S15" s="81">
        <v>1.1870000000000001</v>
      </c>
      <c r="T15" s="81">
        <v>10100.91</v>
      </c>
      <c r="U15" s="81">
        <v>10037.77</v>
      </c>
      <c r="V15" s="81" t="s">
        <v>60</v>
      </c>
      <c r="W15" s="81">
        <v>1010000</v>
      </c>
      <c r="X15" s="81">
        <v>1.9955000000000001</v>
      </c>
      <c r="Y15" s="81">
        <v>2.0072000000000001</v>
      </c>
      <c r="Z15" s="81" t="s">
        <v>276</v>
      </c>
    </row>
    <row r="16" spans="1:26">
      <c r="A16" s="81" t="s">
        <v>202</v>
      </c>
      <c r="B16" s="82">
        <v>42439</v>
      </c>
      <c r="C16" s="81" t="s">
        <v>4</v>
      </c>
      <c r="D16" s="82">
        <v>44265</v>
      </c>
      <c r="E16" s="81" t="s">
        <v>5</v>
      </c>
      <c r="F16" s="81" t="s">
        <v>599</v>
      </c>
      <c r="G16" s="83">
        <v>14366000</v>
      </c>
      <c r="H16" s="83">
        <v>12879000</v>
      </c>
      <c r="I16" s="81" t="s">
        <v>33</v>
      </c>
      <c r="J16" s="81">
        <v>6</v>
      </c>
      <c r="K16" s="81">
        <v>2</v>
      </c>
      <c r="L16" s="81" t="s">
        <v>34</v>
      </c>
      <c r="M16" s="81" t="s">
        <v>34</v>
      </c>
      <c r="N16" s="81" t="s">
        <v>35</v>
      </c>
      <c r="O16" s="81" t="s">
        <v>36</v>
      </c>
      <c r="P16" s="81" t="s">
        <v>37</v>
      </c>
      <c r="Q16" s="81" t="s">
        <v>38</v>
      </c>
      <c r="R16" s="81" t="s">
        <v>39</v>
      </c>
      <c r="S16" s="81">
        <v>1.1439999999999999</v>
      </c>
      <c r="T16" s="81">
        <v>10222.07</v>
      </c>
      <c r="U16" s="81">
        <v>10129.870000000001</v>
      </c>
      <c r="V16" s="81" t="s">
        <v>60</v>
      </c>
      <c r="W16" s="81">
        <v>1010000</v>
      </c>
      <c r="X16" s="81">
        <v>1.5032000000000001</v>
      </c>
      <c r="Y16" s="81">
        <v>1.5078</v>
      </c>
      <c r="Z16" s="81" t="s">
        <v>203</v>
      </c>
    </row>
    <row r="17" spans="1:26">
      <c r="A17" s="81" t="s">
        <v>204</v>
      </c>
      <c r="B17" s="82">
        <v>42257</v>
      </c>
      <c r="C17" s="81" t="s">
        <v>4</v>
      </c>
      <c r="D17" s="82">
        <v>44084</v>
      </c>
      <c r="E17" s="81" t="s">
        <v>4</v>
      </c>
      <c r="F17" s="81" t="s">
        <v>600</v>
      </c>
      <c r="G17" s="83">
        <v>15238000</v>
      </c>
      <c r="H17" s="83">
        <v>12033000</v>
      </c>
      <c r="I17" s="81" t="s">
        <v>33</v>
      </c>
      <c r="J17" s="81">
        <v>6</v>
      </c>
      <c r="K17" s="81">
        <v>2</v>
      </c>
      <c r="L17" s="81" t="s">
        <v>34</v>
      </c>
      <c r="M17" s="81" t="s">
        <v>34</v>
      </c>
      <c r="N17" s="81" t="s">
        <v>35</v>
      </c>
      <c r="O17" s="81" t="s">
        <v>36</v>
      </c>
      <c r="P17" s="81" t="s">
        <v>37</v>
      </c>
      <c r="Q17" s="81" t="s">
        <v>38</v>
      </c>
      <c r="R17" s="81" t="s">
        <v>39</v>
      </c>
      <c r="S17" s="81">
        <v>1.1279999999999999</v>
      </c>
      <c r="T17" s="81">
        <v>10181.780000000001</v>
      </c>
      <c r="U17" s="81">
        <v>10089.530000000001</v>
      </c>
      <c r="V17" s="81" t="s">
        <v>60</v>
      </c>
      <c r="W17" s="81">
        <v>1010000</v>
      </c>
      <c r="X17" s="81">
        <v>1.0205</v>
      </c>
      <c r="Y17" s="81">
        <v>1.0263</v>
      </c>
      <c r="Z17" s="81" t="s">
        <v>205</v>
      </c>
    </row>
    <row r="18" spans="1:26">
      <c r="A18" s="81" t="s">
        <v>206</v>
      </c>
      <c r="B18" s="82">
        <v>42073</v>
      </c>
      <c r="C18" s="81" t="s">
        <v>6</v>
      </c>
      <c r="D18" s="82">
        <v>43900</v>
      </c>
      <c r="E18" s="81" t="s">
        <v>6</v>
      </c>
      <c r="F18" s="81" t="s">
        <v>601</v>
      </c>
      <c r="G18" s="83">
        <v>12584000</v>
      </c>
      <c r="H18" s="83">
        <v>7717000</v>
      </c>
      <c r="I18" s="81" t="s">
        <v>33</v>
      </c>
      <c r="J18" s="81">
        <v>6</v>
      </c>
      <c r="K18" s="81">
        <v>2</v>
      </c>
      <c r="L18" s="81" t="s">
        <v>34</v>
      </c>
      <c r="M18" s="81" t="s">
        <v>34</v>
      </c>
      <c r="N18" s="81" t="s">
        <v>35</v>
      </c>
      <c r="O18" s="81" t="s">
        <v>36</v>
      </c>
      <c r="P18" s="81" t="s">
        <v>37</v>
      </c>
      <c r="Q18" s="81" t="s">
        <v>38</v>
      </c>
      <c r="R18" s="81" t="s">
        <v>39</v>
      </c>
      <c r="S18" s="81">
        <v>1.1479999999999999</v>
      </c>
      <c r="T18" s="81">
        <v>10137.6</v>
      </c>
      <c r="U18" s="81">
        <v>10045.82</v>
      </c>
      <c r="V18" s="81" t="s">
        <v>60</v>
      </c>
      <c r="W18" s="81">
        <v>1010000</v>
      </c>
      <c r="X18" s="81">
        <v>0.53300000000000003</v>
      </c>
      <c r="Y18" s="81">
        <v>0.5333</v>
      </c>
      <c r="Z18" s="81" t="s">
        <v>207</v>
      </c>
    </row>
    <row r="19" spans="1:26">
      <c r="A19" s="81" t="s">
        <v>208</v>
      </c>
      <c r="B19" s="82">
        <v>41892</v>
      </c>
      <c r="C19" s="81" t="s">
        <v>5</v>
      </c>
      <c r="D19" s="82">
        <v>43718</v>
      </c>
      <c r="E19" s="81" t="s">
        <v>6</v>
      </c>
      <c r="F19" s="81" t="s">
        <v>574</v>
      </c>
      <c r="G19" s="83">
        <v>11564000</v>
      </c>
      <c r="H19" s="83">
        <v>8734000</v>
      </c>
      <c r="I19" s="81" t="s">
        <v>33</v>
      </c>
      <c r="J19" s="81">
        <v>6</v>
      </c>
      <c r="K19" s="81">
        <v>2.75</v>
      </c>
      <c r="L19" s="81" t="s">
        <v>34</v>
      </c>
      <c r="M19" s="81" t="s">
        <v>34</v>
      </c>
      <c r="N19" s="81" t="s">
        <v>35</v>
      </c>
      <c r="O19" s="81" t="s">
        <v>36</v>
      </c>
      <c r="P19" s="81" t="s">
        <v>37</v>
      </c>
      <c r="Q19" s="81" t="s">
        <v>38</v>
      </c>
      <c r="R19" s="81" t="s">
        <v>39</v>
      </c>
      <c r="S19" s="81">
        <v>1.254</v>
      </c>
      <c r="T19" s="81">
        <v>10132.31</v>
      </c>
      <c r="U19" s="81">
        <v>10006.02</v>
      </c>
      <c r="V19" s="81" t="s">
        <v>60</v>
      </c>
      <c r="W19" s="81">
        <v>1010000</v>
      </c>
      <c r="X19" s="81">
        <v>4.07E-2</v>
      </c>
      <c r="Y19" s="81">
        <v>4.0899999999999999E-2</v>
      </c>
      <c r="Z19" s="81" t="s">
        <v>209</v>
      </c>
    </row>
    <row r="20" spans="1:26">
      <c r="A20" s="81" t="s">
        <v>34</v>
      </c>
      <c r="B20" s="81" t="s">
        <v>34</v>
      </c>
      <c r="D20" s="81" t="s">
        <v>34</v>
      </c>
      <c r="F20" s="81" t="s">
        <v>34</v>
      </c>
      <c r="G20" s="81" t="s">
        <v>34</v>
      </c>
      <c r="H20" s="81" t="s">
        <v>34</v>
      </c>
      <c r="I20" s="81" t="s">
        <v>34</v>
      </c>
      <c r="J20" s="81" t="s">
        <v>34</v>
      </c>
      <c r="K20" s="81">
        <v>3.125</v>
      </c>
      <c r="L20" s="81" t="s">
        <v>34</v>
      </c>
      <c r="M20" s="81" t="s">
        <v>34</v>
      </c>
      <c r="N20" s="81" t="s">
        <v>35</v>
      </c>
      <c r="O20" s="81" t="s">
        <v>34</v>
      </c>
      <c r="P20" s="81" t="s">
        <v>271</v>
      </c>
      <c r="Q20" s="81" t="s">
        <v>34</v>
      </c>
      <c r="R20" s="81" t="s">
        <v>34</v>
      </c>
      <c r="S20" s="81" t="s">
        <v>34</v>
      </c>
      <c r="T20" s="81" t="s">
        <v>34</v>
      </c>
      <c r="V20" s="81" t="s">
        <v>34</v>
      </c>
      <c r="W20" s="81" t="s">
        <v>34</v>
      </c>
      <c r="X20" s="81" t="s">
        <v>34</v>
      </c>
      <c r="Y20" s="81" t="s">
        <v>34</v>
      </c>
      <c r="Z20" s="81" t="s">
        <v>34</v>
      </c>
    </row>
    <row r="21" spans="1:26">
      <c r="A21" s="81" t="s">
        <v>479</v>
      </c>
      <c r="B21" s="82">
        <v>43626</v>
      </c>
      <c r="C21" s="81" t="s">
        <v>40</v>
      </c>
      <c r="D21" s="82">
        <v>47279</v>
      </c>
      <c r="E21" s="81" t="s">
        <v>13</v>
      </c>
      <c r="F21" s="81" t="s">
        <v>602</v>
      </c>
      <c r="G21" s="83">
        <v>8343000</v>
      </c>
      <c r="H21" s="83">
        <v>8343000</v>
      </c>
      <c r="I21" s="81" t="s">
        <v>33</v>
      </c>
      <c r="J21" s="81">
        <v>6</v>
      </c>
      <c r="K21" s="81">
        <v>1.875</v>
      </c>
      <c r="L21" s="81" t="s">
        <v>34</v>
      </c>
      <c r="M21" s="81" t="s">
        <v>34</v>
      </c>
      <c r="N21" s="81" t="s">
        <v>35</v>
      </c>
      <c r="O21" s="81" t="s">
        <v>36</v>
      </c>
      <c r="P21" s="81" t="s">
        <v>37</v>
      </c>
      <c r="Q21" s="81" t="s">
        <v>38</v>
      </c>
      <c r="R21" s="81" t="s">
        <v>39</v>
      </c>
      <c r="S21" s="81">
        <v>1.252</v>
      </c>
      <c r="T21" s="81">
        <v>10611.64</v>
      </c>
      <c r="U21" s="81">
        <v>10572.2</v>
      </c>
      <c r="V21" s="81" t="s">
        <v>60</v>
      </c>
      <c r="W21" s="81">
        <v>1010000</v>
      </c>
      <c r="X21" s="81">
        <v>8.9442000000000004</v>
      </c>
      <c r="Y21" s="81">
        <v>8.9832000000000001</v>
      </c>
      <c r="Z21" s="81" t="s">
        <v>480</v>
      </c>
    </row>
    <row r="22" spans="1:26">
      <c r="A22" s="81" t="s">
        <v>435</v>
      </c>
      <c r="B22" s="82">
        <v>43444</v>
      </c>
      <c r="C22" s="81" t="s">
        <v>40</v>
      </c>
      <c r="D22" s="82">
        <v>47097</v>
      </c>
      <c r="E22" s="81" t="s">
        <v>13</v>
      </c>
      <c r="F22" s="81" t="s">
        <v>603</v>
      </c>
      <c r="G22" s="83">
        <v>11424000</v>
      </c>
      <c r="H22" s="83">
        <v>11424000</v>
      </c>
      <c r="I22" s="81" t="s">
        <v>33</v>
      </c>
      <c r="J22" s="81">
        <v>6</v>
      </c>
      <c r="K22" s="81">
        <v>2.375</v>
      </c>
      <c r="L22" s="81" t="s">
        <v>34</v>
      </c>
      <c r="M22" s="81" t="s">
        <v>34</v>
      </c>
      <c r="N22" s="81" t="s">
        <v>35</v>
      </c>
      <c r="O22" s="81" t="s">
        <v>36</v>
      </c>
      <c r="P22" s="81" t="s">
        <v>37</v>
      </c>
      <c r="Q22" s="81" t="s">
        <v>38</v>
      </c>
      <c r="R22" s="81" t="s">
        <v>39</v>
      </c>
      <c r="S22" s="81">
        <v>1.262</v>
      </c>
      <c r="T22" s="81">
        <v>11022.56</v>
      </c>
      <c r="U22" s="81">
        <v>10972.6</v>
      </c>
      <c r="V22" s="81" t="s">
        <v>60</v>
      </c>
      <c r="W22" s="81">
        <v>1010000</v>
      </c>
      <c r="X22" s="81">
        <v>8.3648000000000007</v>
      </c>
      <c r="Y22" s="81">
        <v>8.4042999999999992</v>
      </c>
      <c r="Z22" s="81" t="s">
        <v>434</v>
      </c>
    </row>
    <row r="23" spans="1:26">
      <c r="A23" s="81" t="s">
        <v>354</v>
      </c>
      <c r="B23" s="82">
        <v>43261</v>
      </c>
      <c r="C23" s="81" t="s">
        <v>13</v>
      </c>
      <c r="D23" s="82">
        <v>46914</v>
      </c>
      <c r="E23" s="81" t="s">
        <v>11</v>
      </c>
      <c r="F23" s="81" t="s">
        <v>604</v>
      </c>
      <c r="G23" s="83">
        <v>11437000</v>
      </c>
      <c r="H23" s="83">
        <v>11437000</v>
      </c>
      <c r="I23" s="81" t="s">
        <v>33</v>
      </c>
      <c r="J23" s="81">
        <v>6</v>
      </c>
      <c r="K23" s="81">
        <v>2.625</v>
      </c>
      <c r="L23" s="81" t="s">
        <v>34</v>
      </c>
      <c r="M23" s="81" t="s">
        <v>34</v>
      </c>
      <c r="N23" s="81" t="s">
        <v>35</v>
      </c>
      <c r="O23" s="81" t="s">
        <v>36</v>
      </c>
      <c r="P23" s="81" t="s">
        <v>37</v>
      </c>
      <c r="Q23" s="81" t="s">
        <v>38</v>
      </c>
      <c r="R23" s="81" t="s">
        <v>39</v>
      </c>
      <c r="S23" s="81">
        <v>1.262</v>
      </c>
      <c r="T23" s="81">
        <v>11185.67</v>
      </c>
      <c r="U23" s="81">
        <v>11130.45</v>
      </c>
      <c r="V23" s="81" t="s">
        <v>60</v>
      </c>
      <c r="W23" s="81">
        <v>1010000</v>
      </c>
      <c r="X23" s="81">
        <v>7.8867000000000003</v>
      </c>
      <c r="Y23" s="81">
        <v>7.9244000000000003</v>
      </c>
      <c r="Z23" s="81" t="s">
        <v>355</v>
      </c>
    </row>
    <row r="24" spans="1:26">
      <c r="A24" s="81" t="s">
        <v>324</v>
      </c>
      <c r="B24" s="82">
        <v>43079</v>
      </c>
      <c r="C24" s="81" t="s">
        <v>13</v>
      </c>
      <c r="D24" s="82">
        <v>46731</v>
      </c>
      <c r="E24" s="81" t="s">
        <v>10</v>
      </c>
      <c r="F24" s="81" t="s">
        <v>605</v>
      </c>
      <c r="G24" s="83">
        <v>11903000</v>
      </c>
      <c r="H24" s="83">
        <v>11903000</v>
      </c>
      <c r="I24" s="81" t="s">
        <v>33</v>
      </c>
      <c r="J24" s="81">
        <v>6</v>
      </c>
      <c r="K24" s="81">
        <v>2.375</v>
      </c>
      <c r="L24" s="81" t="s">
        <v>34</v>
      </c>
      <c r="M24" s="81" t="s">
        <v>34</v>
      </c>
      <c r="N24" s="81" t="s">
        <v>35</v>
      </c>
      <c r="O24" s="81" t="s">
        <v>36</v>
      </c>
      <c r="P24" s="81" t="s">
        <v>37</v>
      </c>
      <c r="Q24" s="81" t="s">
        <v>38</v>
      </c>
      <c r="R24" s="81" t="s">
        <v>39</v>
      </c>
      <c r="S24" s="81">
        <v>1.2589999999999999</v>
      </c>
      <c r="T24" s="81">
        <v>10925.68</v>
      </c>
      <c r="U24" s="81">
        <v>10874.9</v>
      </c>
      <c r="V24" s="81" t="s">
        <v>60</v>
      </c>
      <c r="W24" s="81">
        <v>1010000</v>
      </c>
      <c r="X24" s="81">
        <v>7.5387000000000004</v>
      </c>
      <c r="Y24" s="81">
        <v>7.5757000000000003</v>
      </c>
      <c r="Z24" s="81" t="s">
        <v>325</v>
      </c>
    </row>
    <row r="25" spans="1:26">
      <c r="A25" s="81" t="s">
        <v>301</v>
      </c>
      <c r="B25" s="82">
        <v>42896</v>
      </c>
      <c r="C25" s="81" t="s">
        <v>11</v>
      </c>
      <c r="D25" s="82">
        <v>46548</v>
      </c>
      <c r="E25" s="81" t="s">
        <v>4</v>
      </c>
      <c r="F25" s="81" t="s">
        <v>606</v>
      </c>
      <c r="G25" s="83">
        <v>12572000</v>
      </c>
      <c r="H25" s="83">
        <v>12572000</v>
      </c>
      <c r="I25" s="81" t="s">
        <v>33</v>
      </c>
      <c r="J25" s="81">
        <v>6</v>
      </c>
      <c r="K25" s="81">
        <v>2.125</v>
      </c>
      <c r="L25" s="81" t="s">
        <v>34</v>
      </c>
      <c r="M25" s="81" t="s">
        <v>34</v>
      </c>
      <c r="N25" s="81" t="s">
        <v>35</v>
      </c>
      <c r="O25" s="81" t="s">
        <v>36</v>
      </c>
      <c r="P25" s="81" t="s">
        <v>37</v>
      </c>
      <c r="Q25" s="81" t="s">
        <v>38</v>
      </c>
      <c r="R25" s="81" t="s">
        <v>39</v>
      </c>
      <c r="S25" s="81">
        <v>1.2509999999999999</v>
      </c>
      <c r="T25" s="81">
        <v>10690.82</v>
      </c>
      <c r="U25" s="81">
        <v>10647.4</v>
      </c>
      <c r="V25" s="81" t="s">
        <v>60</v>
      </c>
      <c r="W25" s="81">
        <v>1010000</v>
      </c>
      <c r="X25" s="81">
        <v>7.1764999999999999</v>
      </c>
      <c r="Y25" s="81">
        <v>7.2119</v>
      </c>
      <c r="Z25" s="81" t="s">
        <v>300</v>
      </c>
    </row>
    <row r="26" spans="1:26">
      <c r="A26" s="81" t="s">
        <v>284</v>
      </c>
      <c r="B26" s="82">
        <v>42714</v>
      </c>
      <c r="C26" s="81" t="s">
        <v>11</v>
      </c>
      <c r="D26" s="82">
        <v>46366</v>
      </c>
      <c r="E26" s="81" t="s">
        <v>4</v>
      </c>
      <c r="F26" s="81" t="s">
        <v>607</v>
      </c>
      <c r="G26" s="83">
        <v>13063000</v>
      </c>
      <c r="H26" s="83">
        <v>13063000</v>
      </c>
      <c r="I26" s="81" t="s">
        <v>33</v>
      </c>
      <c r="J26" s="81">
        <v>6</v>
      </c>
      <c r="K26" s="81">
        <v>1.5</v>
      </c>
      <c r="L26" s="81" t="s">
        <v>34</v>
      </c>
      <c r="M26" s="81" t="s">
        <v>34</v>
      </c>
      <c r="N26" s="81" t="s">
        <v>35</v>
      </c>
      <c r="O26" s="81" t="s">
        <v>36</v>
      </c>
      <c r="P26" s="81" t="s">
        <v>37</v>
      </c>
      <c r="Q26" s="81" t="s">
        <v>38</v>
      </c>
      <c r="R26" s="81" t="s">
        <v>39</v>
      </c>
      <c r="S26" s="81">
        <v>1.2450000000000001</v>
      </c>
      <c r="T26" s="81">
        <v>10208.15</v>
      </c>
      <c r="U26" s="81">
        <v>10175.67</v>
      </c>
      <c r="V26" s="81" t="s">
        <v>60</v>
      </c>
      <c r="W26" s="81">
        <v>1010000</v>
      </c>
      <c r="X26" s="81">
        <v>6.8803999999999998</v>
      </c>
      <c r="Y26" s="81">
        <v>6.9161000000000001</v>
      </c>
      <c r="Z26" s="81" t="s">
        <v>285</v>
      </c>
    </row>
    <row r="27" spans="1:26">
      <c r="A27" s="81" t="s">
        <v>268</v>
      </c>
      <c r="B27" s="82">
        <v>42531</v>
      </c>
      <c r="C27" s="81" t="s">
        <v>10</v>
      </c>
      <c r="D27" s="82">
        <v>46183</v>
      </c>
      <c r="E27" s="81" t="s">
        <v>5</v>
      </c>
      <c r="F27" s="81" t="s">
        <v>608</v>
      </c>
      <c r="G27" s="83">
        <v>12250000</v>
      </c>
      <c r="H27" s="83">
        <v>12212000</v>
      </c>
      <c r="I27" s="81" t="s">
        <v>33</v>
      </c>
      <c r="J27" s="81">
        <v>6</v>
      </c>
      <c r="K27" s="81">
        <v>1.875</v>
      </c>
      <c r="L27" s="81" t="s">
        <v>34</v>
      </c>
      <c r="M27" s="81" t="s">
        <v>34</v>
      </c>
      <c r="N27" s="81" t="s">
        <v>35</v>
      </c>
      <c r="O27" s="81" t="s">
        <v>36</v>
      </c>
      <c r="P27" s="81" t="s">
        <v>37</v>
      </c>
      <c r="Q27" s="81" t="s">
        <v>38</v>
      </c>
      <c r="R27" s="81" t="s">
        <v>39</v>
      </c>
      <c r="S27" s="81">
        <v>1.2430000000000001</v>
      </c>
      <c r="T27" s="81">
        <v>10449.15</v>
      </c>
      <c r="U27" s="81">
        <v>10407.5</v>
      </c>
      <c r="V27" s="81" t="s">
        <v>60</v>
      </c>
      <c r="W27" s="81">
        <v>1010000</v>
      </c>
      <c r="X27" s="81">
        <v>6.3597000000000001</v>
      </c>
      <c r="Y27" s="81">
        <v>6.3921999999999999</v>
      </c>
      <c r="Z27" s="81" t="s">
        <v>269</v>
      </c>
    </row>
    <row r="28" spans="1:26">
      <c r="A28" s="81" t="s">
        <v>210</v>
      </c>
      <c r="B28" s="82">
        <v>42348</v>
      </c>
      <c r="C28" s="81" t="s">
        <v>4</v>
      </c>
      <c r="D28" s="82">
        <v>46001</v>
      </c>
      <c r="E28" s="81" t="s">
        <v>5</v>
      </c>
      <c r="F28" s="81" t="s">
        <v>609</v>
      </c>
      <c r="G28" s="83">
        <v>13030012</v>
      </c>
      <c r="H28" s="83">
        <v>12790012</v>
      </c>
      <c r="I28" s="81" t="s">
        <v>33</v>
      </c>
      <c r="J28" s="81">
        <v>6</v>
      </c>
      <c r="K28" s="81">
        <v>2.25</v>
      </c>
      <c r="L28" s="81" t="s">
        <v>34</v>
      </c>
      <c r="M28" s="81" t="s">
        <v>34</v>
      </c>
      <c r="N28" s="81" t="s">
        <v>35</v>
      </c>
      <c r="O28" s="81" t="s">
        <v>36</v>
      </c>
      <c r="P28" s="81" t="s">
        <v>37</v>
      </c>
      <c r="Q28" s="81" t="s">
        <v>38</v>
      </c>
      <c r="R28" s="81" t="s">
        <v>39</v>
      </c>
      <c r="S28" s="81">
        <v>1.234</v>
      </c>
      <c r="T28" s="81">
        <v>10659.81</v>
      </c>
      <c r="U28" s="81">
        <v>10611.03</v>
      </c>
      <c r="V28" s="81" t="s">
        <v>60</v>
      </c>
      <c r="W28" s="81">
        <v>1010000</v>
      </c>
      <c r="X28" s="81">
        <v>5.8578000000000001</v>
      </c>
      <c r="Y28" s="81">
        <v>5.8891999999999998</v>
      </c>
      <c r="Z28" s="81" t="s">
        <v>211</v>
      </c>
    </row>
    <row r="29" spans="1:26">
      <c r="A29" s="81" t="s">
        <v>212</v>
      </c>
      <c r="B29" s="82">
        <v>42165</v>
      </c>
      <c r="C29" s="81" t="s">
        <v>5</v>
      </c>
      <c r="D29" s="82">
        <v>45818</v>
      </c>
      <c r="E29" s="81" t="s">
        <v>6</v>
      </c>
      <c r="F29" s="81" t="s">
        <v>610</v>
      </c>
      <c r="G29" s="83">
        <v>15232000</v>
      </c>
      <c r="H29" s="83">
        <v>15028000</v>
      </c>
      <c r="I29" s="81" t="s">
        <v>33</v>
      </c>
      <c r="J29" s="81">
        <v>6</v>
      </c>
      <c r="K29" s="81">
        <v>2.25</v>
      </c>
      <c r="L29" s="81" t="s">
        <v>34</v>
      </c>
      <c r="M29" s="81" t="s">
        <v>34</v>
      </c>
      <c r="N29" s="81" t="s">
        <v>35</v>
      </c>
      <c r="O29" s="81" t="s">
        <v>36</v>
      </c>
      <c r="P29" s="81" t="s">
        <v>37</v>
      </c>
      <c r="Q29" s="81" t="s">
        <v>38</v>
      </c>
      <c r="R29" s="81" t="s">
        <v>39</v>
      </c>
      <c r="S29" s="81">
        <v>1.228</v>
      </c>
      <c r="T29" s="81">
        <v>10616.66</v>
      </c>
      <c r="U29" s="81">
        <v>10568.19</v>
      </c>
      <c r="V29" s="81" t="s">
        <v>60</v>
      </c>
      <c r="W29" s="81">
        <v>1010000</v>
      </c>
      <c r="X29" s="81">
        <v>5.4192999999999998</v>
      </c>
      <c r="Y29" s="81">
        <v>5.4476000000000004</v>
      </c>
      <c r="Z29" s="81" t="s">
        <v>213</v>
      </c>
    </row>
    <row r="30" spans="1:26">
      <c r="A30" s="81" t="s">
        <v>214</v>
      </c>
      <c r="B30" s="82">
        <v>41892</v>
      </c>
      <c r="C30" s="81" t="s">
        <v>5</v>
      </c>
      <c r="D30" s="82">
        <v>45545</v>
      </c>
      <c r="E30" s="81" t="s">
        <v>6</v>
      </c>
      <c r="F30" s="81" t="s">
        <v>592</v>
      </c>
      <c r="G30" s="83">
        <v>16621030</v>
      </c>
      <c r="H30" s="83">
        <v>16366030</v>
      </c>
      <c r="I30" s="81" t="s">
        <v>33</v>
      </c>
      <c r="J30" s="81">
        <v>6</v>
      </c>
      <c r="K30" s="81">
        <v>3</v>
      </c>
      <c r="L30" s="81" t="s">
        <v>34</v>
      </c>
      <c r="M30" s="81" t="s">
        <v>34</v>
      </c>
      <c r="N30" s="81" t="s">
        <v>35</v>
      </c>
      <c r="O30" s="81" t="s">
        <v>36</v>
      </c>
      <c r="P30" s="81" t="s">
        <v>37</v>
      </c>
      <c r="Q30" s="81" t="s">
        <v>38</v>
      </c>
      <c r="R30" s="81" t="s">
        <v>39</v>
      </c>
      <c r="S30" s="81">
        <v>1.2230000000000001</v>
      </c>
      <c r="T30" s="81">
        <v>11003.67</v>
      </c>
      <c r="U30" s="81">
        <v>10867.61</v>
      </c>
      <c r="V30" s="81" t="s">
        <v>60</v>
      </c>
      <c r="W30" s="81">
        <v>1010000</v>
      </c>
      <c r="X30" s="81">
        <v>4.6471</v>
      </c>
      <c r="Y30" s="81">
        <v>4.6729000000000003</v>
      </c>
      <c r="Z30" s="81" t="s">
        <v>215</v>
      </c>
    </row>
    <row r="31" spans="1:26">
      <c r="A31" s="81" t="s">
        <v>216</v>
      </c>
      <c r="B31" s="82">
        <v>41708</v>
      </c>
      <c r="C31" s="81" t="s">
        <v>40</v>
      </c>
      <c r="D31" s="82">
        <v>45361</v>
      </c>
      <c r="E31" s="81" t="s">
        <v>13</v>
      </c>
      <c r="F31" s="81" t="s">
        <v>593</v>
      </c>
      <c r="G31" s="83">
        <v>13194001</v>
      </c>
      <c r="H31" s="83">
        <v>13194001</v>
      </c>
      <c r="I31" s="81" t="s">
        <v>33</v>
      </c>
      <c r="J31" s="81">
        <v>6</v>
      </c>
      <c r="K31" s="81">
        <v>3.5</v>
      </c>
      <c r="L31" s="81" t="s">
        <v>34</v>
      </c>
      <c r="M31" s="81" t="s">
        <v>34</v>
      </c>
      <c r="N31" s="81" t="s">
        <v>35</v>
      </c>
      <c r="O31" s="81" t="s">
        <v>36</v>
      </c>
      <c r="P31" s="81" t="s">
        <v>37</v>
      </c>
      <c r="Q31" s="81" t="s">
        <v>38</v>
      </c>
      <c r="R31" s="81" t="s">
        <v>39</v>
      </c>
      <c r="S31" s="81">
        <v>1.2190000000000001</v>
      </c>
      <c r="T31" s="81">
        <v>11164.99</v>
      </c>
      <c r="U31" s="81">
        <v>11004.11</v>
      </c>
      <c r="V31" s="81" t="s">
        <v>60</v>
      </c>
      <c r="W31" s="81">
        <v>1010000</v>
      </c>
      <c r="X31" s="81">
        <v>4.1704999999999997</v>
      </c>
      <c r="Y31" s="81">
        <v>4.1914999999999996</v>
      </c>
      <c r="Z31" s="81" t="s">
        <v>217</v>
      </c>
    </row>
    <row r="32" spans="1:26">
      <c r="A32" s="81" t="s">
        <v>218</v>
      </c>
      <c r="B32" s="82">
        <v>41527</v>
      </c>
      <c r="C32" s="81" t="s">
        <v>6</v>
      </c>
      <c r="D32" s="82">
        <v>45179</v>
      </c>
      <c r="E32" s="81" t="s">
        <v>13</v>
      </c>
      <c r="F32" s="81" t="s">
        <v>594</v>
      </c>
      <c r="G32" s="83">
        <v>12430026</v>
      </c>
      <c r="H32" s="83">
        <v>12430026</v>
      </c>
      <c r="I32" s="81" t="s">
        <v>33</v>
      </c>
      <c r="J32" s="81">
        <v>6</v>
      </c>
      <c r="K32" s="81">
        <v>3.375</v>
      </c>
      <c r="L32" s="81" t="s">
        <v>34</v>
      </c>
      <c r="M32" s="81" t="s">
        <v>34</v>
      </c>
      <c r="N32" s="81" t="s">
        <v>35</v>
      </c>
      <c r="O32" s="81" t="s">
        <v>36</v>
      </c>
      <c r="P32" s="81" t="s">
        <v>37</v>
      </c>
      <c r="Q32" s="81" t="s">
        <v>38</v>
      </c>
      <c r="R32" s="81" t="s">
        <v>39</v>
      </c>
      <c r="S32" s="81">
        <v>1.21</v>
      </c>
      <c r="T32" s="81">
        <v>11005.93</v>
      </c>
      <c r="U32" s="81">
        <v>10851.22</v>
      </c>
      <c r="V32" s="81" t="s">
        <v>60</v>
      </c>
      <c r="W32" s="81">
        <v>1010000</v>
      </c>
      <c r="X32" s="81">
        <v>3.7475999999999998</v>
      </c>
      <c r="Y32" s="81">
        <v>3.7686999999999999</v>
      </c>
      <c r="Z32" s="81" t="s">
        <v>219</v>
      </c>
    </row>
    <row r="33" spans="1:26">
      <c r="A33" s="81" t="s">
        <v>220</v>
      </c>
      <c r="B33" s="82">
        <v>41343</v>
      </c>
      <c r="C33" s="81" t="s">
        <v>13</v>
      </c>
      <c r="D33" s="82">
        <v>44995</v>
      </c>
      <c r="E33" s="81" t="s">
        <v>10</v>
      </c>
      <c r="F33" s="81" t="s">
        <v>595</v>
      </c>
      <c r="G33" s="83">
        <v>12262020</v>
      </c>
      <c r="H33" s="83">
        <v>12262020</v>
      </c>
      <c r="I33" s="81" t="s">
        <v>33</v>
      </c>
      <c r="J33" s="81">
        <v>6</v>
      </c>
      <c r="K33" s="81">
        <v>3</v>
      </c>
      <c r="L33" s="81" t="s">
        <v>34</v>
      </c>
      <c r="M33" s="81" t="s">
        <v>34</v>
      </c>
      <c r="N33" s="81" t="s">
        <v>35</v>
      </c>
      <c r="O33" s="81" t="s">
        <v>36</v>
      </c>
      <c r="P33" s="81" t="s">
        <v>37</v>
      </c>
      <c r="Q33" s="81" t="s">
        <v>38</v>
      </c>
      <c r="R33" s="81" t="s">
        <v>39</v>
      </c>
      <c r="S33" s="81">
        <v>1.2090000000000001</v>
      </c>
      <c r="T33" s="81">
        <v>10756.41</v>
      </c>
      <c r="U33" s="81">
        <v>10617.81</v>
      </c>
      <c r="V33" s="81" t="s">
        <v>60</v>
      </c>
      <c r="W33" s="81">
        <v>1010000</v>
      </c>
      <c r="X33" s="81">
        <v>3.3290000000000002</v>
      </c>
      <c r="Y33" s="81">
        <v>3.3443999999999998</v>
      </c>
      <c r="Z33" s="81" t="s">
        <v>221</v>
      </c>
    </row>
    <row r="34" spans="1:26">
      <c r="A34" s="81" t="s">
        <v>222</v>
      </c>
      <c r="B34" s="82">
        <v>41070</v>
      </c>
      <c r="C34" s="81" t="s">
        <v>13</v>
      </c>
      <c r="D34" s="82">
        <v>44722</v>
      </c>
      <c r="E34" s="81" t="s">
        <v>10</v>
      </c>
      <c r="F34" s="81" t="s">
        <v>587</v>
      </c>
      <c r="G34" s="83">
        <v>15281500</v>
      </c>
      <c r="H34" s="83">
        <v>15281500</v>
      </c>
      <c r="I34" s="81" t="s">
        <v>33</v>
      </c>
      <c r="J34" s="81">
        <v>6</v>
      </c>
      <c r="K34" s="81">
        <v>3.75</v>
      </c>
      <c r="L34" s="81" t="s">
        <v>34</v>
      </c>
      <c r="M34" s="81" t="s">
        <v>34</v>
      </c>
      <c r="N34" s="81" t="s">
        <v>35</v>
      </c>
      <c r="O34" s="81" t="s">
        <v>36</v>
      </c>
      <c r="P34" s="81" t="s">
        <v>37</v>
      </c>
      <c r="Q34" s="81" t="s">
        <v>38</v>
      </c>
      <c r="R34" s="81" t="s">
        <v>39</v>
      </c>
      <c r="S34" s="81">
        <v>1.19</v>
      </c>
      <c r="T34" s="81">
        <v>10778.98</v>
      </c>
      <c r="U34" s="81">
        <v>10699.62</v>
      </c>
      <c r="V34" s="81" t="s">
        <v>60</v>
      </c>
      <c r="W34" s="81">
        <v>1010000</v>
      </c>
      <c r="X34" s="81">
        <v>2.6461000000000001</v>
      </c>
      <c r="Y34" s="81">
        <v>2.6600999999999999</v>
      </c>
      <c r="Z34" s="81" t="s">
        <v>223</v>
      </c>
    </row>
    <row r="35" spans="1:26">
      <c r="A35" s="81" t="s">
        <v>224</v>
      </c>
      <c r="B35" s="82">
        <v>40704</v>
      </c>
      <c r="C35" s="81" t="s">
        <v>10</v>
      </c>
      <c r="D35" s="82">
        <v>44357</v>
      </c>
      <c r="E35" s="81" t="s">
        <v>4</v>
      </c>
      <c r="F35" s="81" t="s">
        <v>589</v>
      </c>
      <c r="G35" s="83">
        <v>21178959</v>
      </c>
      <c r="H35" s="83">
        <v>17285959</v>
      </c>
      <c r="I35" s="81" t="s">
        <v>33</v>
      </c>
      <c r="J35" s="81">
        <v>6</v>
      </c>
      <c r="K35" s="81">
        <v>4.25</v>
      </c>
      <c r="L35" s="81" t="s">
        <v>34</v>
      </c>
      <c r="M35" s="81" t="s">
        <v>34</v>
      </c>
      <c r="N35" s="81" t="s">
        <v>35</v>
      </c>
      <c r="O35" s="81" t="s">
        <v>36</v>
      </c>
      <c r="P35" s="81" t="s">
        <v>37</v>
      </c>
      <c r="Q35" s="81" t="s">
        <v>38</v>
      </c>
      <c r="R35" s="81" t="s">
        <v>39</v>
      </c>
      <c r="S35" s="81">
        <v>1.1599999999999999</v>
      </c>
      <c r="T35" s="81">
        <v>10634.94</v>
      </c>
      <c r="U35" s="81">
        <v>10545.53</v>
      </c>
      <c r="V35" s="81" t="s">
        <v>60</v>
      </c>
      <c r="W35" s="81">
        <v>1010000</v>
      </c>
      <c r="X35" s="81">
        <v>1.7209000000000001</v>
      </c>
      <c r="Y35" s="81">
        <v>1.7295</v>
      </c>
      <c r="Z35" s="81" t="s">
        <v>225</v>
      </c>
    </row>
    <row r="36" spans="1:26">
      <c r="A36" s="81" t="s">
        <v>436</v>
      </c>
      <c r="B36" s="82">
        <v>40339</v>
      </c>
      <c r="C36" s="81" t="s">
        <v>4</v>
      </c>
      <c r="D36" s="82">
        <v>43992</v>
      </c>
      <c r="E36" s="81" t="s">
        <v>5</v>
      </c>
      <c r="F36" s="81" t="s">
        <v>591</v>
      </c>
      <c r="G36" s="83">
        <v>18848000</v>
      </c>
      <c r="H36" s="83">
        <v>11863000</v>
      </c>
      <c r="I36" s="81" t="s">
        <v>33</v>
      </c>
      <c r="J36" s="81">
        <v>6</v>
      </c>
      <c r="K36" s="81">
        <v>5</v>
      </c>
      <c r="L36" s="81" t="s">
        <v>34</v>
      </c>
      <c r="M36" s="81" t="s">
        <v>34</v>
      </c>
      <c r="N36" s="81" t="s">
        <v>35</v>
      </c>
      <c r="O36" s="81" t="s">
        <v>36</v>
      </c>
      <c r="P36" s="81" t="s">
        <v>37</v>
      </c>
      <c r="Q36" s="81" t="s">
        <v>38</v>
      </c>
      <c r="R36" s="81" t="s">
        <v>39</v>
      </c>
      <c r="S36" s="81">
        <v>1.07</v>
      </c>
      <c r="T36" s="81">
        <v>10413.120000000001</v>
      </c>
      <c r="U36" s="81">
        <v>10307.99</v>
      </c>
      <c r="V36" s="81" t="s">
        <v>60</v>
      </c>
      <c r="W36" s="81">
        <v>1010000</v>
      </c>
      <c r="X36" s="81">
        <v>0.77410000000000001</v>
      </c>
      <c r="Y36" s="81">
        <v>0.77759999999999996</v>
      </c>
      <c r="Z36" s="81" t="s">
        <v>437</v>
      </c>
    </row>
    <row r="37" spans="1:26">
      <c r="A37" s="81" t="s">
        <v>360</v>
      </c>
      <c r="B37" s="82">
        <v>43261</v>
      </c>
      <c r="C37" s="81" t="s">
        <v>13</v>
      </c>
      <c r="D37" s="82">
        <v>46914</v>
      </c>
      <c r="E37" s="81" t="s">
        <v>11</v>
      </c>
      <c r="F37" s="81" t="s">
        <v>604</v>
      </c>
      <c r="G37" s="83">
        <v>1461000</v>
      </c>
      <c r="H37" s="83">
        <v>1461000</v>
      </c>
      <c r="I37" s="81" t="s">
        <v>33</v>
      </c>
      <c r="J37" s="81">
        <v>6</v>
      </c>
      <c r="K37" s="81">
        <v>1.75</v>
      </c>
      <c r="L37" s="81" t="s">
        <v>34</v>
      </c>
      <c r="M37" s="81" t="s">
        <v>34</v>
      </c>
      <c r="N37" s="81" t="s">
        <v>35</v>
      </c>
      <c r="O37" s="81" t="s">
        <v>36</v>
      </c>
      <c r="P37" s="81" t="s">
        <v>37</v>
      </c>
      <c r="Q37" s="81" t="s">
        <v>38</v>
      </c>
      <c r="R37" s="81" t="s">
        <v>39</v>
      </c>
      <c r="S37" s="81">
        <v>0.628</v>
      </c>
      <c r="T37" s="81">
        <v>11071.84</v>
      </c>
      <c r="U37" s="81">
        <v>11032.98</v>
      </c>
      <c r="V37" s="81" t="s">
        <v>60</v>
      </c>
      <c r="W37" s="81">
        <v>1010000</v>
      </c>
      <c r="X37" s="81">
        <v>8.1784999999999997</v>
      </c>
      <c r="Y37" s="81">
        <v>8.1919000000000004</v>
      </c>
      <c r="Z37" s="81" t="s">
        <v>361</v>
      </c>
    </row>
    <row r="38" spans="1:26">
      <c r="A38" s="81" t="s">
        <v>277</v>
      </c>
      <c r="B38" s="82">
        <v>42531</v>
      </c>
      <c r="C38" s="81" t="s">
        <v>10</v>
      </c>
      <c r="D38" s="82">
        <v>46183</v>
      </c>
      <c r="E38" s="81" t="s">
        <v>5</v>
      </c>
      <c r="F38" s="81" t="s">
        <v>608</v>
      </c>
      <c r="G38" s="83">
        <v>4053020</v>
      </c>
      <c r="H38" s="83">
        <v>2918020</v>
      </c>
      <c r="I38" s="81" t="s">
        <v>33</v>
      </c>
      <c r="J38" s="81">
        <v>6</v>
      </c>
      <c r="K38" s="81">
        <v>1</v>
      </c>
      <c r="L38" s="81" t="s">
        <v>34</v>
      </c>
      <c r="M38" s="81" t="s">
        <v>34</v>
      </c>
      <c r="N38" s="81" t="s">
        <v>35</v>
      </c>
      <c r="O38" s="81" t="s">
        <v>36</v>
      </c>
      <c r="P38" s="81" t="s">
        <v>37</v>
      </c>
      <c r="Q38" s="81" t="s">
        <v>38</v>
      </c>
      <c r="R38" s="81" t="s">
        <v>39</v>
      </c>
      <c r="S38" s="81">
        <v>0.4</v>
      </c>
      <c r="T38" s="81">
        <v>10862.76</v>
      </c>
      <c r="U38" s="81">
        <v>10837.29</v>
      </c>
      <c r="V38" s="81" t="s">
        <v>60</v>
      </c>
      <c r="W38" s="81">
        <v>1010000</v>
      </c>
      <c r="X38" s="81">
        <v>6.5664999999999996</v>
      </c>
      <c r="Y38" s="81">
        <v>6.5727000000000002</v>
      </c>
      <c r="Z38" s="81" t="s">
        <v>278</v>
      </c>
    </row>
    <row r="39" spans="1:26">
      <c r="A39" s="81" t="s">
        <v>226</v>
      </c>
      <c r="B39" s="82">
        <v>42165</v>
      </c>
      <c r="C39" s="81" t="s">
        <v>5</v>
      </c>
      <c r="D39" s="82">
        <v>45818</v>
      </c>
      <c r="E39" s="81" t="s">
        <v>6</v>
      </c>
      <c r="F39" s="81" t="s">
        <v>610</v>
      </c>
      <c r="G39" s="83">
        <v>2039030</v>
      </c>
      <c r="H39" s="83">
        <v>683030</v>
      </c>
      <c r="I39" s="81" t="s">
        <v>33</v>
      </c>
      <c r="J39" s="81">
        <v>6</v>
      </c>
      <c r="K39" s="81">
        <v>1.75</v>
      </c>
      <c r="L39" s="81" t="s">
        <v>34</v>
      </c>
      <c r="M39" s="81" t="s">
        <v>34</v>
      </c>
      <c r="N39" s="81" t="s">
        <v>35</v>
      </c>
      <c r="O39" s="81" t="s">
        <v>36</v>
      </c>
      <c r="P39" s="81" t="s">
        <v>37</v>
      </c>
      <c r="Q39" s="81" t="s">
        <v>38</v>
      </c>
      <c r="R39" s="81" t="s">
        <v>39</v>
      </c>
      <c r="S39" s="81">
        <v>0.26200000000000001</v>
      </c>
      <c r="T39" s="81">
        <v>11464.66</v>
      </c>
      <c r="U39" s="81">
        <v>11427.4</v>
      </c>
      <c r="V39" s="81" t="s">
        <v>60</v>
      </c>
      <c r="W39" s="81">
        <v>1010000</v>
      </c>
      <c r="X39" s="81">
        <v>5.5225</v>
      </c>
      <c r="Y39" s="81">
        <v>5.5252999999999997</v>
      </c>
      <c r="Z39" s="81" t="s">
        <v>227</v>
      </c>
    </row>
    <row r="40" spans="1:26">
      <c r="A40" s="81" t="s">
        <v>228</v>
      </c>
      <c r="B40" s="82">
        <v>41435</v>
      </c>
      <c r="C40" s="81" t="s">
        <v>40</v>
      </c>
      <c r="D40" s="82">
        <v>45087</v>
      </c>
      <c r="E40" s="81" t="s">
        <v>11</v>
      </c>
      <c r="F40" s="81" t="s">
        <v>611</v>
      </c>
      <c r="G40" s="83">
        <v>2261312</v>
      </c>
      <c r="H40" s="83">
        <v>679312</v>
      </c>
      <c r="I40" s="81" t="s">
        <v>33</v>
      </c>
      <c r="J40" s="81">
        <v>6</v>
      </c>
      <c r="K40" s="81">
        <v>1.125</v>
      </c>
      <c r="L40" s="81" t="s">
        <v>34</v>
      </c>
      <c r="M40" s="81" t="s">
        <v>34</v>
      </c>
      <c r="N40" s="81" t="s">
        <v>35</v>
      </c>
      <c r="O40" s="81" t="s">
        <v>36</v>
      </c>
      <c r="P40" s="81" t="s">
        <v>37</v>
      </c>
      <c r="Q40" s="81" t="s">
        <v>38</v>
      </c>
      <c r="R40" s="81" t="s">
        <v>39</v>
      </c>
      <c r="S40" s="81">
        <v>0.15</v>
      </c>
      <c r="T40" s="81">
        <v>11116.93</v>
      </c>
      <c r="U40" s="81">
        <v>11093.96</v>
      </c>
      <c r="V40" s="81" t="s">
        <v>60</v>
      </c>
      <c r="W40" s="81">
        <v>1010000</v>
      </c>
      <c r="X40" s="81">
        <v>3.7124999999999999</v>
      </c>
      <c r="Y40" s="81">
        <v>3.7134</v>
      </c>
      <c r="Z40" s="81" t="s">
        <v>229</v>
      </c>
    </row>
    <row r="41" spans="1:26">
      <c r="A41" s="81" t="s">
        <v>230</v>
      </c>
      <c r="B41" s="82">
        <v>40704</v>
      </c>
      <c r="C41" s="81" t="s">
        <v>10</v>
      </c>
      <c r="D41" s="82">
        <v>44357</v>
      </c>
      <c r="E41" s="81" t="s">
        <v>4</v>
      </c>
      <c r="F41" s="81" t="s">
        <v>589</v>
      </c>
      <c r="G41" s="83">
        <v>5086051</v>
      </c>
      <c r="H41" s="83">
        <v>2753051</v>
      </c>
      <c r="I41" s="81" t="s">
        <v>33</v>
      </c>
      <c r="J41" s="81">
        <v>6</v>
      </c>
      <c r="K41" s="81">
        <v>1.5</v>
      </c>
      <c r="L41" s="81" t="s">
        <v>34</v>
      </c>
      <c r="M41" s="81" t="s">
        <v>34</v>
      </c>
      <c r="N41" s="81" t="s">
        <v>35</v>
      </c>
      <c r="O41" s="81" t="s">
        <v>36</v>
      </c>
      <c r="P41" s="81" t="s">
        <v>37</v>
      </c>
      <c r="Q41" s="81" t="s">
        <v>38</v>
      </c>
      <c r="R41" s="81" t="s">
        <v>39</v>
      </c>
      <c r="S41" s="81">
        <v>0.13100000000000001</v>
      </c>
      <c r="T41" s="81">
        <v>11460.85</v>
      </c>
      <c r="U41" s="81">
        <v>11424.52</v>
      </c>
      <c r="V41" s="81" t="s">
        <v>60</v>
      </c>
      <c r="W41" s="81">
        <v>1010000</v>
      </c>
      <c r="X41" s="81">
        <v>1.7667999999999999</v>
      </c>
      <c r="Y41" s="81">
        <v>1.7670999999999999</v>
      </c>
      <c r="Z41" s="81" t="s">
        <v>231</v>
      </c>
    </row>
    <row r="42" spans="1:26">
      <c r="A42" s="81" t="s">
        <v>232</v>
      </c>
      <c r="B42" s="82">
        <v>40339</v>
      </c>
      <c r="C42" s="81" t="s">
        <v>4</v>
      </c>
      <c r="D42" s="82">
        <v>43992</v>
      </c>
      <c r="E42" s="81" t="s">
        <v>5</v>
      </c>
      <c r="F42" s="81" t="s">
        <v>591</v>
      </c>
      <c r="G42" s="83">
        <v>1765000</v>
      </c>
      <c r="H42" s="83">
        <v>943000</v>
      </c>
      <c r="I42" s="81" t="s">
        <v>33</v>
      </c>
      <c r="J42" s="81">
        <v>6</v>
      </c>
      <c r="K42" s="81">
        <v>2.75</v>
      </c>
      <c r="L42" s="81" t="s">
        <v>34</v>
      </c>
      <c r="M42" s="81" t="s">
        <v>34</v>
      </c>
      <c r="N42" s="81" t="s">
        <v>35</v>
      </c>
      <c r="O42" s="81" t="s">
        <v>36</v>
      </c>
      <c r="P42" s="81" t="s">
        <v>37</v>
      </c>
      <c r="Q42" s="81" t="s">
        <v>38</v>
      </c>
      <c r="R42" s="81" t="s">
        <v>39</v>
      </c>
      <c r="S42" s="81">
        <v>-6.0000000000000001E-3</v>
      </c>
      <c r="T42" s="81">
        <v>11979.62</v>
      </c>
      <c r="U42" s="81">
        <v>11915.02</v>
      </c>
      <c r="V42" s="81" t="s">
        <v>60</v>
      </c>
      <c r="W42" s="81">
        <v>1010000</v>
      </c>
      <c r="X42" s="81">
        <v>0.78290000000000004</v>
      </c>
      <c r="Y42" s="81">
        <v>0.78290000000000004</v>
      </c>
      <c r="Z42" s="81" t="s">
        <v>233</v>
      </c>
    </row>
    <row r="43" spans="1:26">
      <c r="A43" s="81" t="s">
        <v>579</v>
      </c>
      <c r="B43" s="82">
        <v>43718</v>
      </c>
      <c r="C43" s="81" t="s">
        <v>6</v>
      </c>
      <c r="D43" s="82">
        <v>51023</v>
      </c>
      <c r="E43" s="81" t="s">
        <v>11</v>
      </c>
      <c r="F43" s="81" t="s">
        <v>612</v>
      </c>
      <c r="G43" s="83">
        <v>200000</v>
      </c>
      <c r="H43" s="83">
        <v>200000</v>
      </c>
      <c r="I43" s="81" t="s">
        <v>33</v>
      </c>
      <c r="J43" s="81">
        <v>6</v>
      </c>
      <c r="K43" s="81">
        <v>1.125</v>
      </c>
      <c r="L43" s="81" t="s">
        <v>34</v>
      </c>
      <c r="M43" s="81" t="s">
        <v>34</v>
      </c>
      <c r="N43" s="81" t="s">
        <v>35</v>
      </c>
      <c r="O43" s="81" t="s">
        <v>36</v>
      </c>
      <c r="P43" s="81" t="s">
        <v>37</v>
      </c>
      <c r="Q43" s="81" t="s">
        <v>38</v>
      </c>
      <c r="R43" s="81" t="s">
        <v>39</v>
      </c>
      <c r="S43" s="81">
        <v>1.2450000000000001</v>
      </c>
      <c r="T43" s="81">
        <v>9783.16</v>
      </c>
      <c r="U43" s="81">
        <v>9783.16</v>
      </c>
      <c r="V43" s="81" t="s">
        <v>60</v>
      </c>
      <c r="W43" s="81">
        <v>1010000</v>
      </c>
      <c r="X43" s="81">
        <v>17.9877</v>
      </c>
      <c r="Y43" s="81">
        <v>17.978200000000001</v>
      </c>
      <c r="Z43" s="81" t="s">
        <v>580</v>
      </c>
    </row>
    <row r="44" spans="1:26">
      <c r="A44" s="81" t="s">
        <v>389</v>
      </c>
      <c r="B44" s="82">
        <v>43353</v>
      </c>
      <c r="C44" s="81" t="s">
        <v>40</v>
      </c>
      <c r="D44" s="82">
        <v>50658</v>
      </c>
      <c r="E44" s="81" t="s">
        <v>10</v>
      </c>
      <c r="F44" s="81" t="s">
        <v>613</v>
      </c>
      <c r="G44" s="83">
        <v>8221000</v>
      </c>
      <c r="H44" s="83">
        <v>8221000</v>
      </c>
      <c r="I44" s="81" t="s">
        <v>33</v>
      </c>
      <c r="J44" s="81">
        <v>6</v>
      </c>
      <c r="K44" s="81">
        <v>2.375</v>
      </c>
      <c r="L44" s="81" t="s">
        <v>34</v>
      </c>
      <c r="M44" s="81" t="s">
        <v>34</v>
      </c>
      <c r="N44" s="81" t="s">
        <v>35</v>
      </c>
      <c r="O44" s="81" t="s">
        <v>36</v>
      </c>
      <c r="P44" s="81" t="s">
        <v>37</v>
      </c>
      <c r="Q44" s="81" t="s">
        <v>38</v>
      </c>
      <c r="R44" s="81" t="s">
        <v>39</v>
      </c>
      <c r="S44" s="81">
        <v>1.26</v>
      </c>
      <c r="T44" s="81">
        <v>11991.35</v>
      </c>
      <c r="U44" s="81">
        <v>11882.29</v>
      </c>
      <c r="V44" s="81" t="s">
        <v>60</v>
      </c>
      <c r="W44" s="81">
        <v>1010000</v>
      </c>
      <c r="X44" s="81">
        <v>15.6342</v>
      </c>
      <c r="Y44" s="81">
        <v>15.6411</v>
      </c>
      <c r="Z44" s="81" t="s">
        <v>381</v>
      </c>
    </row>
    <row r="45" spans="1:26">
      <c r="A45" s="81" t="s">
        <v>315</v>
      </c>
      <c r="B45" s="82">
        <v>42988</v>
      </c>
      <c r="C45" s="81" t="s">
        <v>13</v>
      </c>
      <c r="D45" s="82">
        <v>50293</v>
      </c>
      <c r="E45" s="81" t="s">
        <v>4</v>
      </c>
      <c r="F45" s="81" t="s">
        <v>614</v>
      </c>
      <c r="G45" s="83">
        <v>9556000</v>
      </c>
      <c r="H45" s="83">
        <v>9556000</v>
      </c>
      <c r="I45" s="81" t="s">
        <v>33</v>
      </c>
      <c r="J45" s="81">
        <v>6</v>
      </c>
      <c r="K45" s="81">
        <v>2.25</v>
      </c>
      <c r="L45" s="81" t="s">
        <v>34</v>
      </c>
      <c r="M45" s="81" t="s">
        <v>34</v>
      </c>
      <c r="N45" s="81" t="s">
        <v>35</v>
      </c>
      <c r="O45" s="81" t="s">
        <v>36</v>
      </c>
      <c r="P45" s="81" t="s">
        <v>37</v>
      </c>
      <c r="Q45" s="81" t="s">
        <v>38</v>
      </c>
      <c r="R45" s="81" t="s">
        <v>39</v>
      </c>
      <c r="S45" s="81">
        <v>1.2649999999999999</v>
      </c>
      <c r="T45" s="81">
        <v>11687.65</v>
      </c>
      <c r="U45" s="81">
        <v>11584.33</v>
      </c>
      <c r="V45" s="81" t="s">
        <v>60</v>
      </c>
      <c r="W45" s="81">
        <v>1010000</v>
      </c>
      <c r="X45" s="81">
        <v>15.0448</v>
      </c>
      <c r="Y45" s="81">
        <v>15.059699999999999</v>
      </c>
      <c r="Z45" s="81" t="s">
        <v>316</v>
      </c>
    </row>
    <row r="46" spans="1:26">
      <c r="A46" s="81" t="s">
        <v>280</v>
      </c>
      <c r="B46" s="82">
        <v>42623</v>
      </c>
      <c r="C46" s="81" t="s">
        <v>11</v>
      </c>
      <c r="D46" s="82">
        <v>49928</v>
      </c>
      <c r="E46" s="81" t="s">
        <v>5</v>
      </c>
      <c r="F46" s="81" t="s">
        <v>615</v>
      </c>
      <c r="G46" s="83">
        <v>9793000</v>
      </c>
      <c r="H46" s="83">
        <v>9793000</v>
      </c>
      <c r="I46" s="81" t="s">
        <v>33</v>
      </c>
      <c r="J46" s="81">
        <v>6</v>
      </c>
      <c r="K46" s="81">
        <v>1.5</v>
      </c>
      <c r="L46" s="81" t="s">
        <v>34</v>
      </c>
      <c r="M46" s="81" t="s">
        <v>34</v>
      </c>
      <c r="N46" s="81" t="s">
        <v>35</v>
      </c>
      <c r="O46" s="81" t="s">
        <v>36</v>
      </c>
      <c r="P46" s="81" t="s">
        <v>37</v>
      </c>
      <c r="Q46" s="81" t="s">
        <v>38</v>
      </c>
      <c r="R46" s="81" t="s">
        <v>39</v>
      </c>
      <c r="S46" s="81">
        <v>1.26</v>
      </c>
      <c r="T46" s="81">
        <v>10434.82</v>
      </c>
      <c r="U46" s="81">
        <v>10371.67</v>
      </c>
      <c r="V46" s="81" t="s">
        <v>60</v>
      </c>
      <c r="W46" s="81">
        <v>1010000</v>
      </c>
      <c r="X46" s="81">
        <v>15.023199999999999</v>
      </c>
      <c r="Y46" s="81">
        <v>15.043699999999999</v>
      </c>
      <c r="Z46" s="81" t="s">
        <v>281</v>
      </c>
    </row>
    <row r="47" spans="1:26">
      <c r="A47" s="81" t="s">
        <v>234</v>
      </c>
      <c r="B47" s="82">
        <v>42257</v>
      </c>
      <c r="C47" s="81" t="s">
        <v>4</v>
      </c>
      <c r="D47" s="82">
        <v>49562</v>
      </c>
      <c r="E47" s="81" t="s">
        <v>40</v>
      </c>
      <c r="F47" s="81" t="s">
        <v>616</v>
      </c>
      <c r="G47" s="83">
        <v>12359092</v>
      </c>
      <c r="H47" s="83">
        <v>12359092</v>
      </c>
      <c r="I47" s="81" t="s">
        <v>33</v>
      </c>
      <c r="J47" s="81">
        <v>6</v>
      </c>
      <c r="K47" s="81">
        <v>2.625</v>
      </c>
      <c r="L47" s="81" t="s">
        <v>34</v>
      </c>
      <c r="M47" s="81" t="s">
        <v>34</v>
      </c>
      <c r="N47" s="81" t="s">
        <v>35</v>
      </c>
      <c r="O47" s="81" t="s">
        <v>36</v>
      </c>
      <c r="P47" s="81" t="s">
        <v>37</v>
      </c>
      <c r="Q47" s="81" t="s">
        <v>38</v>
      </c>
      <c r="R47" s="81" t="s">
        <v>39</v>
      </c>
      <c r="S47" s="81">
        <v>1.256</v>
      </c>
      <c r="T47" s="81">
        <v>12103.25</v>
      </c>
      <c r="U47" s="81">
        <v>11984.84</v>
      </c>
      <c r="V47" s="81" t="s">
        <v>60</v>
      </c>
      <c r="W47" s="81">
        <v>1010000</v>
      </c>
      <c r="X47" s="81">
        <v>13.3285</v>
      </c>
      <c r="Y47" s="81">
        <v>13.3553</v>
      </c>
      <c r="Z47" s="81" t="s">
        <v>235</v>
      </c>
    </row>
    <row r="48" spans="1:26">
      <c r="A48" s="81" t="s">
        <v>236</v>
      </c>
      <c r="B48" s="82">
        <v>41618</v>
      </c>
      <c r="C48" s="81" t="s">
        <v>6</v>
      </c>
      <c r="D48" s="82">
        <v>48923</v>
      </c>
      <c r="E48" s="81" t="s">
        <v>11</v>
      </c>
      <c r="F48" s="81" t="s">
        <v>617</v>
      </c>
      <c r="G48" s="83">
        <v>17673540</v>
      </c>
      <c r="H48" s="83">
        <v>17673540</v>
      </c>
      <c r="I48" s="81" t="s">
        <v>33</v>
      </c>
      <c r="J48" s="81">
        <v>6</v>
      </c>
      <c r="K48" s="81">
        <v>3.75</v>
      </c>
      <c r="L48" s="81" t="s">
        <v>34</v>
      </c>
      <c r="M48" s="81" t="s">
        <v>34</v>
      </c>
      <c r="N48" s="81" t="s">
        <v>35</v>
      </c>
      <c r="O48" s="81" t="s">
        <v>36</v>
      </c>
      <c r="P48" s="81" t="s">
        <v>37</v>
      </c>
      <c r="Q48" s="81" t="s">
        <v>38</v>
      </c>
      <c r="R48" s="81" t="s">
        <v>39</v>
      </c>
      <c r="S48" s="81">
        <v>1.2529999999999999</v>
      </c>
      <c r="T48" s="81">
        <v>13335.27</v>
      </c>
      <c r="U48" s="81">
        <v>13258.95</v>
      </c>
      <c r="V48" s="81" t="s">
        <v>60</v>
      </c>
      <c r="W48" s="81">
        <v>1010000</v>
      </c>
      <c r="X48" s="81">
        <v>11.5657</v>
      </c>
      <c r="Y48" s="81">
        <v>11.599500000000001</v>
      </c>
      <c r="Z48" s="81" t="s">
        <v>237</v>
      </c>
    </row>
    <row r="49" spans="1:26">
      <c r="A49" s="81" t="s">
        <v>238</v>
      </c>
      <c r="B49" s="82">
        <v>40887</v>
      </c>
      <c r="C49" s="81" t="s">
        <v>11</v>
      </c>
      <c r="D49" s="82">
        <v>48192</v>
      </c>
      <c r="E49" s="81" t="s">
        <v>5</v>
      </c>
      <c r="F49" s="81" t="s">
        <v>618</v>
      </c>
      <c r="G49" s="83">
        <v>19960560</v>
      </c>
      <c r="H49" s="83">
        <v>19863560</v>
      </c>
      <c r="I49" s="81" t="s">
        <v>33</v>
      </c>
      <c r="J49" s="81">
        <v>6</v>
      </c>
      <c r="K49" s="81">
        <v>4</v>
      </c>
      <c r="L49" s="81" t="s">
        <v>34</v>
      </c>
      <c r="M49" s="81" t="s">
        <v>34</v>
      </c>
      <c r="N49" s="81" t="s">
        <v>35</v>
      </c>
      <c r="O49" s="81" t="s">
        <v>36</v>
      </c>
      <c r="P49" s="81" t="s">
        <v>37</v>
      </c>
      <c r="Q49" s="81" t="s">
        <v>38</v>
      </c>
      <c r="R49" s="81" t="s">
        <v>39</v>
      </c>
      <c r="S49" s="81">
        <v>1.256</v>
      </c>
      <c r="T49" s="81">
        <v>13199.34</v>
      </c>
      <c r="U49" s="81">
        <v>13120.95</v>
      </c>
      <c r="V49" s="81" t="s">
        <v>60</v>
      </c>
      <c r="W49" s="81">
        <v>1010000</v>
      </c>
      <c r="X49" s="81">
        <v>10.092599999999999</v>
      </c>
      <c r="Y49" s="81">
        <v>10.129799999999999</v>
      </c>
      <c r="Z49" s="81" t="s">
        <v>239</v>
      </c>
    </row>
    <row r="50" spans="1:26">
      <c r="A50" s="81" t="s">
        <v>240</v>
      </c>
      <c r="B50" s="82">
        <v>40522</v>
      </c>
      <c r="C50" s="81" t="s">
        <v>10</v>
      </c>
      <c r="D50" s="82">
        <v>47827</v>
      </c>
      <c r="E50" s="81" t="s">
        <v>6</v>
      </c>
      <c r="F50" s="81" t="s">
        <v>619</v>
      </c>
      <c r="G50" s="83">
        <v>11519300</v>
      </c>
      <c r="H50" s="83">
        <v>11258300</v>
      </c>
      <c r="I50" s="81" t="s">
        <v>33</v>
      </c>
      <c r="J50" s="81">
        <v>6</v>
      </c>
      <c r="K50" s="81">
        <v>4.75</v>
      </c>
      <c r="L50" s="81" t="s">
        <v>34</v>
      </c>
      <c r="M50" s="81" t="s">
        <v>34</v>
      </c>
      <c r="N50" s="81" t="s">
        <v>35</v>
      </c>
      <c r="O50" s="81" t="s">
        <v>36</v>
      </c>
      <c r="P50" s="81" t="s">
        <v>37</v>
      </c>
      <c r="Q50" s="81" t="s">
        <v>38</v>
      </c>
      <c r="R50" s="81" t="s">
        <v>39</v>
      </c>
      <c r="S50" s="81">
        <v>1.2529999999999999</v>
      </c>
      <c r="T50" s="81">
        <v>13770.44</v>
      </c>
      <c r="U50" s="81">
        <v>13671.77</v>
      </c>
      <c r="V50" s="81" t="s">
        <v>60</v>
      </c>
      <c r="W50" s="81">
        <v>1010000</v>
      </c>
      <c r="X50" s="81">
        <v>9.1705000000000005</v>
      </c>
      <c r="Y50" s="81">
        <v>9.2081</v>
      </c>
      <c r="Z50" s="81" t="s">
        <v>241</v>
      </c>
    </row>
    <row r="51" spans="1:26">
      <c r="A51" s="81" t="s">
        <v>242</v>
      </c>
      <c r="B51" s="82">
        <v>40157</v>
      </c>
      <c r="C51" s="81" t="s">
        <v>4</v>
      </c>
      <c r="D51" s="82">
        <v>47462</v>
      </c>
      <c r="E51" s="81" t="s">
        <v>40</v>
      </c>
      <c r="F51" s="81" t="s">
        <v>620</v>
      </c>
      <c r="G51" s="83">
        <v>11450300</v>
      </c>
      <c r="H51" s="83">
        <v>11103300</v>
      </c>
      <c r="I51" s="81" t="s">
        <v>33</v>
      </c>
      <c r="J51" s="81">
        <v>6</v>
      </c>
      <c r="K51" s="81">
        <v>5.5</v>
      </c>
      <c r="L51" s="81" t="s">
        <v>34</v>
      </c>
      <c r="M51" s="81" t="s">
        <v>34</v>
      </c>
      <c r="N51" s="81" t="s">
        <v>35</v>
      </c>
      <c r="O51" s="81" t="s">
        <v>36</v>
      </c>
      <c r="P51" s="81" t="s">
        <v>37</v>
      </c>
      <c r="Q51" s="81" t="s">
        <v>38</v>
      </c>
      <c r="R51" s="81" t="s">
        <v>39</v>
      </c>
      <c r="S51" s="81">
        <v>1.252</v>
      </c>
      <c r="T51" s="81">
        <v>14204.64</v>
      </c>
      <c r="U51" s="81">
        <v>14088.93</v>
      </c>
      <c r="V51" s="81" t="s">
        <v>60</v>
      </c>
      <c r="W51" s="81">
        <v>1010000</v>
      </c>
      <c r="X51" s="81">
        <v>8.3054000000000006</v>
      </c>
      <c r="Y51" s="81">
        <v>8.3422999999999998</v>
      </c>
      <c r="Z51" s="81" t="s">
        <v>243</v>
      </c>
    </row>
    <row r="52" spans="1:26">
      <c r="A52" s="81" t="s">
        <v>244</v>
      </c>
      <c r="B52" s="82">
        <v>39517</v>
      </c>
      <c r="C52" s="81" t="s">
        <v>40</v>
      </c>
      <c r="D52" s="82">
        <v>46822</v>
      </c>
      <c r="E52" s="81" t="s">
        <v>10</v>
      </c>
      <c r="F52" s="81" t="s">
        <v>621</v>
      </c>
      <c r="G52" s="83">
        <v>10979000</v>
      </c>
      <c r="H52" s="83">
        <v>10927000</v>
      </c>
      <c r="I52" s="81" t="s">
        <v>33</v>
      </c>
      <c r="J52" s="81">
        <v>6</v>
      </c>
      <c r="K52" s="81">
        <v>5.5</v>
      </c>
      <c r="L52" s="81" t="s">
        <v>34</v>
      </c>
      <c r="M52" s="81" t="s">
        <v>34</v>
      </c>
      <c r="N52" s="81" t="s">
        <v>35</v>
      </c>
      <c r="O52" s="81" t="s">
        <v>36</v>
      </c>
      <c r="P52" s="81" t="s">
        <v>37</v>
      </c>
      <c r="Q52" s="81" t="s">
        <v>38</v>
      </c>
      <c r="R52" s="81" t="s">
        <v>39</v>
      </c>
      <c r="S52" s="81">
        <v>1.262</v>
      </c>
      <c r="T52" s="81">
        <v>13673.61</v>
      </c>
      <c r="U52" s="81">
        <v>13421.03</v>
      </c>
      <c r="V52" s="81" t="s">
        <v>60</v>
      </c>
      <c r="W52" s="81">
        <v>1010000</v>
      </c>
      <c r="X52" s="81">
        <v>7.0182000000000002</v>
      </c>
      <c r="Y52" s="81">
        <v>7.0510000000000002</v>
      </c>
      <c r="Z52" s="81" t="s">
        <v>245</v>
      </c>
    </row>
    <row r="53" spans="1:26">
      <c r="A53" s="81" t="s">
        <v>246</v>
      </c>
      <c r="B53" s="82">
        <v>39151</v>
      </c>
      <c r="C53" s="81" t="s">
        <v>11</v>
      </c>
      <c r="D53" s="82">
        <v>46456</v>
      </c>
      <c r="E53" s="81" t="s">
        <v>5</v>
      </c>
      <c r="F53" s="81" t="s">
        <v>622</v>
      </c>
      <c r="G53" s="83">
        <v>5203000</v>
      </c>
      <c r="H53" s="83">
        <v>5181000</v>
      </c>
      <c r="I53" s="81" t="s">
        <v>33</v>
      </c>
      <c r="J53" s="81">
        <v>6</v>
      </c>
      <c r="K53" s="81">
        <v>5.25</v>
      </c>
      <c r="L53" s="81" t="s">
        <v>34</v>
      </c>
      <c r="M53" s="81" t="s">
        <v>34</v>
      </c>
      <c r="N53" s="81" t="s">
        <v>35</v>
      </c>
      <c r="O53" s="81" t="s">
        <v>36</v>
      </c>
      <c r="P53" s="81" t="s">
        <v>37</v>
      </c>
      <c r="Q53" s="81" t="s">
        <v>38</v>
      </c>
      <c r="R53" s="81" t="s">
        <v>39</v>
      </c>
      <c r="S53" s="81">
        <v>1.248</v>
      </c>
      <c r="T53" s="81">
        <v>13112.64</v>
      </c>
      <c r="U53" s="81">
        <v>12872.37</v>
      </c>
      <c r="V53" s="81" t="s">
        <v>60</v>
      </c>
      <c r="W53" s="81">
        <v>1010000</v>
      </c>
      <c r="X53" s="81">
        <v>6.3414999999999999</v>
      </c>
      <c r="Y53" s="81">
        <v>6.3711000000000002</v>
      </c>
      <c r="Z53" s="81" t="s">
        <v>247</v>
      </c>
    </row>
    <row r="54" spans="1:26">
      <c r="A54" s="81" t="s">
        <v>395</v>
      </c>
      <c r="B54" s="82">
        <v>38786</v>
      </c>
      <c r="C54" s="81" t="s">
        <v>10</v>
      </c>
      <c r="D54" s="82">
        <v>46091</v>
      </c>
      <c r="E54" s="81" t="s">
        <v>6</v>
      </c>
      <c r="F54" s="81" t="s">
        <v>623</v>
      </c>
      <c r="G54" s="83">
        <v>6670210</v>
      </c>
      <c r="H54" s="83">
        <v>6649210</v>
      </c>
      <c r="I54" s="81" t="s">
        <v>33</v>
      </c>
      <c r="J54" s="81">
        <v>6</v>
      </c>
      <c r="K54" s="81">
        <v>5.75</v>
      </c>
      <c r="L54" s="81" t="s">
        <v>34</v>
      </c>
      <c r="M54" s="81" t="s">
        <v>34</v>
      </c>
      <c r="N54" s="81" t="s">
        <v>35</v>
      </c>
      <c r="O54" s="81" t="s">
        <v>36</v>
      </c>
      <c r="P54" s="81" t="s">
        <v>37</v>
      </c>
      <c r="Q54" s="81" t="s">
        <v>38</v>
      </c>
      <c r="R54" s="81" t="s">
        <v>39</v>
      </c>
      <c r="S54" s="81">
        <v>1.238</v>
      </c>
      <c r="T54" s="81">
        <v>13090.44</v>
      </c>
      <c r="U54" s="81">
        <v>12824.94</v>
      </c>
      <c r="V54" s="81" t="s">
        <v>60</v>
      </c>
      <c r="W54" s="81">
        <v>1010000</v>
      </c>
      <c r="X54" s="81">
        <v>5.5365000000000002</v>
      </c>
      <c r="Y54" s="81">
        <v>5.5629999999999997</v>
      </c>
      <c r="Z54" s="81" t="s">
        <v>396</v>
      </c>
    </row>
    <row r="55" spans="1:26">
      <c r="A55" s="81" t="s">
        <v>462</v>
      </c>
      <c r="B55" s="82">
        <v>43534</v>
      </c>
      <c r="C55" s="81" t="s">
        <v>13</v>
      </c>
      <c r="D55" s="82">
        <v>54492</v>
      </c>
      <c r="E55" s="81" t="s">
        <v>5</v>
      </c>
      <c r="F55" s="81" t="s">
        <v>624</v>
      </c>
      <c r="G55" s="83">
        <v>14437014</v>
      </c>
      <c r="H55" s="83">
        <v>14437014</v>
      </c>
      <c r="I55" s="81" t="s">
        <v>33</v>
      </c>
      <c r="J55" s="81">
        <v>6</v>
      </c>
      <c r="K55" s="81">
        <v>2</v>
      </c>
      <c r="L55" s="81" t="s">
        <v>34</v>
      </c>
      <c r="M55" s="81" t="s">
        <v>34</v>
      </c>
      <c r="N55" s="81" t="s">
        <v>35</v>
      </c>
      <c r="O55" s="81" t="s">
        <v>36</v>
      </c>
      <c r="P55" s="81" t="s">
        <v>37</v>
      </c>
      <c r="Q55" s="81" t="s">
        <v>38</v>
      </c>
      <c r="R55" s="81" t="s">
        <v>39</v>
      </c>
      <c r="S55" s="81">
        <v>1.26</v>
      </c>
      <c r="T55" s="81">
        <v>11912.37</v>
      </c>
      <c r="U55" s="81">
        <v>11820.53</v>
      </c>
      <c r="V55" s="81" t="s">
        <v>60</v>
      </c>
      <c r="W55" s="81">
        <v>1010000</v>
      </c>
      <c r="X55" s="81">
        <v>23.096900000000002</v>
      </c>
      <c r="Y55" s="81">
        <v>22.936299999999999</v>
      </c>
      <c r="Z55" s="81" t="s">
        <v>463</v>
      </c>
    </row>
    <row r="56" spans="1:26">
      <c r="A56" s="81" t="s">
        <v>340</v>
      </c>
      <c r="B56" s="82">
        <v>43169</v>
      </c>
      <c r="C56" s="81" t="s">
        <v>11</v>
      </c>
      <c r="D56" s="82">
        <v>54127</v>
      </c>
      <c r="E56" s="81" t="s">
        <v>6</v>
      </c>
      <c r="F56" s="81" t="s">
        <v>625</v>
      </c>
      <c r="G56" s="83">
        <v>22902000</v>
      </c>
      <c r="H56" s="83">
        <v>22902000</v>
      </c>
      <c r="I56" s="81" t="s">
        <v>33</v>
      </c>
      <c r="J56" s="81">
        <v>6</v>
      </c>
      <c r="K56" s="81">
        <v>2.625</v>
      </c>
      <c r="L56" s="81" t="s">
        <v>34</v>
      </c>
      <c r="M56" s="81" t="s">
        <v>34</v>
      </c>
      <c r="N56" s="81" t="s">
        <v>35</v>
      </c>
      <c r="O56" s="81" t="s">
        <v>36</v>
      </c>
      <c r="P56" s="81" t="s">
        <v>37</v>
      </c>
      <c r="Q56" s="81" t="s">
        <v>38</v>
      </c>
      <c r="R56" s="81" t="s">
        <v>39</v>
      </c>
      <c r="S56" s="81">
        <v>1.262</v>
      </c>
      <c r="T56" s="81">
        <v>13378.55</v>
      </c>
      <c r="U56" s="81">
        <v>13258</v>
      </c>
      <c r="V56" s="81" t="s">
        <v>60</v>
      </c>
      <c r="W56" s="81">
        <v>1010000</v>
      </c>
      <c r="X56" s="81">
        <v>21.429600000000001</v>
      </c>
      <c r="Y56" s="81">
        <v>21.3065</v>
      </c>
      <c r="Z56" s="81" t="s">
        <v>341</v>
      </c>
    </row>
    <row r="57" spans="1:26">
      <c r="A57" s="81" t="s">
        <v>296</v>
      </c>
      <c r="B57" s="82">
        <v>42804</v>
      </c>
      <c r="C57" s="81" t="s">
        <v>10</v>
      </c>
      <c r="D57" s="82">
        <v>53761</v>
      </c>
      <c r="E57" s="81" t="s">
        <v>13</v>
      </c>
      <c r="F57" s="81" t="s">
        <v>626</v>
      </c>
      <c r="G57" s="83">
        <v>21413000</v>
      </c>
      <c r="H57" s="83">
        <v>21413000</v>
      </c>
      <c r="I57" s="81" t="s">
        <v>33</v>
      </c>
      <c r="J57" s="81">
        <v>6</v>
      </c>
      <c r="K57" s="81">
        <v>2.125</v>
      </c>
      <c r="L57" s="81" t="s">
        <v>34</v>
      </c>
      <c r="M57" s="81" t="s">
        <v>34</v>
      </c>
      <c r="N57" s="81" t="s">
        <v>35</v>
      </c>
      <c r="O57" s="81" t="s">
        <v>36</v>
      </c>
      <c r="P57" s="81" t="s">
        <v>37</v>
      </c>
      <c r="Q57" s="81" t="s">
        <v>38</v>
      </c>
      <c r="R57" s="81" t="s">
        <v>39</v>
      </c>
      <c r="S57" s="81">
        <v>1.262</v>
      </c>
      <c r="T57" s="81">
        <v>12099.96</v>
      </c>
      <c r="U57" s="81">
        <v>12002.38</v>
      </c>
      <c r="V57" s="81" t="s">
        <v>60</v>
      </c>
      <c r="W57" s="81">
        <v>1010000</v>
      </c>
      <c r="X57" s="81">
        <v>21.598099999999999</v>
      </c>
      <c r="Y57" s="81">
        <v>21.4832</v>
      </c>
      <c r="Z57" s="81" t="s">
        <v>297</v>
      </c>
    </row>
    <row r="58" spans="1:26">
      <c r="A58" s="81" t="s">
        <v>265</v>
      </c>
      <c r="B58" s="82">
        <v>42439</v>
      </c>
      <c r="C58" s="81" t="s">
        <v>4</v>
      </c>
      <c r="D58" s="82">
        <v>53396</v>
      </c>
      <c r="E58" s="81" t="s">
        <v>11</v>
      </c>
      <c r="F58" s="81" t="s">
        <v>627</v>
      </c>
      <c r="G58" s="83">
        <v>14387000</v>
      </c>
      <c r="H58" s="83">
        <v>14387000</v>
      </c>
      <c r="I58" s="81" t="s">
        <v>33</v>
      </c>
      <c r="J58" s="81">
        <v>6</v>
      </c>
      <c r="K58" s="81">
        <v>2</v>
      </c>
      <c r="L58" s="81" t="s">
        <v>34</v>
      </c>
      <c r="M58" s="81" t="s">
        <v>34</v>
      </c>
      <c r="N58" s="81" t="s">
        <v>35</v>
      </c>
      <c r="O58" s="81" t="s">
        <v>36</v>
      </c>
      <c r="P58" s="81" t="s">
        <v>37</v>
      </c>
      <c r="Q58" s="81" t="s">
        <v>38</v>
      </c>
      <c r="R58" s="81" t="s">
        <v>39</v>
      </c>
      <c r="S58" s="81">
        <v>1.262</v>
      </c>
      <c r="T58" s="81">
        <v>11751.83</v>
      </c>
      <c r="U58" s="81">
        <v>11659.99</v>
      </c>
      <c r="V58" s="81" t="s">
        <v>60</v>
      </c>
      <c r="W58" s="81">
        <v>1010000</v>
      </c>
      <c r="X58" s="81">
        <v>21.162600000000001</v>
      </c>
      <c r="Y58" s="81">
        <v>21.0642</v>
      </c>
      <c r="Z58" s="81" t="s">
        <v>266</v>
      </c>
    </row>
    <row r="59" spans="1:26">
      <c r="A59" s="81" t="s">
        <v>248</v>
      </c>
      <c r="B59" s="82">
        <v>41983</v>
      </c>
      <c r="C59" s="81" t="s">
        <v>5</v>
      </c>
      <c r="D59" s="82">
        <v>52941</v>
      </c>
      <c r="E59" s="81" t="s">
        <v>11</v>
      </c>
      <c r="F59" s="81" t="s">
        <v>628</v>
      </c>
      <c r="G59" s="83">
        <v>15083029</v>
      </c>
      <c r="H59" s="83">
        <v>15083029</v>
      </c>
      <c r="I59" s="81" t="s">
        <v>33</v>
      </c>
      <c r="J59" s="81">
        <v>6</v>
      </c>
      <c r="K59" s="81">
        <v>2.75</v>
      </c>
      <c r="L59" s="81" t="s">
        <v>34</v>
      </c>
      <c r="M59" s="81" t="s">
        <v>34</v>
      </c>
      <c r="N59" s="81" t="s">
        <v>35</v>
      </c>
      <c r="O59" s="81" t="s">
        <v>36</v>
      </c>
      <c r="P59" s="81" t="s">
        <v>37</v>
      </c>
      <c r="Q59" s="81" t="s">
        <v>38</v>
      </c>
      <c r="R59" s="81" t="s">
        <v>39</v>
      </c>
      <c r="S59" s="81">
        <v>1.262</v>
      </c>
      <c r="T59" s="81">
        <v>13270.77</v>
      </c>
      <c r="U59" s="81">
        <v>13212.92</v>
      </c>
      <c r="V59" s="81" t="s">
        <v>60</v>
      </c>
      <c r="W59" s="81">
        <v>1010000</v>
      </c>
      <c r="X59" s="81">
        <v>19.398599999999998</v>
      </c>
      <c r="Y59" s="81">
        <v>19.335000000000001</v>
      </c>
      <c r="Z59" s="81" t="s">
        <v>249</v>
      </c>
    </row>
    <row r="60" spans="1:26">
      <c r="A60" s="81" t="s">
        <v>250</v>
      </c>
      <c r="B60" s="82">
        <v>41253</v>
      </c>
      <c r="C60" s="81" t="s">
        <v>40</v>
      </c>
      <c r="D60" s="82">
        <v>52210</v>
      </c>
      <c r="E60" s="81" t="s">
        <v>5</v>
      </c>
      <c r="F60" s="81" t="s">
        <v>629</v>
      </c>
      <c r="G60" s="83">
        <v>20278021</v>
      </c>
      <c r="H60" s="83">
        <v>20278021</v>
      </c>
      <c r="I60" s="81" t="s">
        <v>33</v>
      </c>
      <c r="J60" s="81">
        <v>6</v>
      </c>
      <c r="K60" s="81">
        <v>3</v>
      </c>
      <c r="L60" s="81" t="s">
        <v>34</v>
      </c>
      <c r="M60" s="81" t="s">
        <v>34</v>
      </c>
      <c r="N60" s="81" t="s">
        <v>35</v>
      </c>
      <c r="O60" s="81" t="s">
        <v>36</v>
      </c>
      <c r="P60" s="81" t="s">
        <v>37</v>
      </c>
      <c r="Q60" s="81" t="s">
        <v>38</v>
      </c>
      <c r="R60" s="81" t="s">
        <v>39</v>
      </c>
      <c r="S60" s="81">
        <v>1.262</v>
      </c>
      <c r="T60" s="81">
        <v>13559.77</v>
      </c>
      <c r="U60" s="81">
        <v>13497.46</v>
      </c>
      <c r="V60" s="81" t="s">
        <v>60</v>
      </c>
      <c r="W60" s="81">
        <v>1010000</v>
      </c>
      <c r="X60" s="81">
        <v>17.8904</v>
      </c>
      <c r="Y60" s="81">
        <v>17.8567</v>
      </c>
      <c r="Z60" s="81" t="s">
        <v>251</v>
      </c>
    </row>
    <row r="61" spans="1:26">
      <c r="A61" s="81" t="s">
        <v>421</v>
      </c>
      <c r="B61" s="82">
        <v>43353</v>
      </c>
      <c r="C61" s="81" t="s">
        <v>40</v>
      </c>
      <c r="D61" s="82">
        <v>61616</v>
      </c>
      <c r="E61" s="81" t="s">
        <v>40</v>
      </c>
      <c r="F61" s="81" t="s">
        <v>630</v>
      </c>
      <c r="G61" s="83">
        <v>3558000</v>
      </c>
      <c r="H61" s="83">
        <v>3558000</v>
      </c>
      <c r="I61" s="81" t="s">
        <v>33</v>
      </c>
      <c r="J61" s="81">
        <v>6</v>
      </c>
      <c r="K61" s="81">
        <v>2</v>
      </c>
      <c r="L61" s="81" t="s">
        <v>34</v>
      </c>
      <c r="M61" s="81" t="s">
        <v>34</v>
      </c>
      <c r="N61" s="81" t="s">
        <v>35</v>
      </c>
      <c r="O61" s="81" t="s">
        <v>36</v>
      </c>
      <c r="P61" s="81" t="s">
        <v>37</v>
      </c>
      <c r="Q61" s="81" t="s">
        <v>38</v>
      </c>
      <c r="R61" s="81" t="s">
        <v>39</v>
      </c>
      <c r="S61" s="81">
        <v>1.28</v>
      </c>
      <c r="T61" s="81">
        <v>12705.32</v>
      </c>
      <c r="U61" s="81">
        <v>12616.29</v>
      </c>
      <c r="V61" s="81" t="s">
        <v>60</v>
      </c>
      <c r="W61" s="81">
        <v>1010000</v>
      </c>
      <c r="X61" s="81">
        <v>34.232100000000003</v>
      </c>
      <c r="Y61" s="81">
        <v>33.353200000000001</v>
      </c>
      <c r="Z61" s="81" t="s">
        <v>422</v>
      </c>
    </row>
    <row r="62" spans="1:26">
      <c r="A62" s="81" t="s">
        <v>286</v>
      </c>
      <c r="B62" s="82">
        <v>42623</v>
      </c>
      <c r="C62" s="81" t="s">
        <v>11</v>
      </c>
      <c r="D62" s="82">
        <v>60885</v>
      </c>
      <c r="E62" s="81" t="s">
        <v>10</v>
      </c>
      <c r="F62" s="81" t="s">
        <v>631</v>
      </c>
      <c r="G62" s="83">
        <v>2184000</v>
      </c>
      <c r="H62" s="83">
        <v>2184000</v>
      </c>
      <c r="I62" s="81" t="s">
        <v>33</v>
      </c>
      <c r="J62" s="81">
        <v>6</v>
      </c>
      <c r="K62" s="81">
        <v>1.5</v>
      </c>
      <c r="L62" s="81" t="s">
        <v>34</v>
      </c>
      <c r="M62" s="81" t="s">
        <v>34</v>
      </c>
      <c r="N62" s="81" t="s">
        <v>35</v>
      </c>
      <c r="O62" s="81" t="s">
        <v>36</v>
      </c>
      <c r="P62" s="81" t="s">
        <v>37</v>
      </c>
      <c r="Q62" s="81" t="s">
        <v>38</v>
      </c>
      <c r="R62" s="81" t="s">
        <v>39</v>
      </c>
      <c r="S62" s="81">
        <v>1.2729999999999999</v>
      </c>
      <c r="T62" s="81">
        <v>10869.18</v>
      </c>
      <c r="U62" s="81">
        <v>10812.63</v>
      </c>
      <c r="V62" s="81" t="s">
        <v>60</v>
      </c>
      <c r="W62" s="81">
        <v>1010000</v>
      </c>
      <c r="X62" s="81">
        <v>35.139400000000002</v>
      </c>
      <c r="Y62" s="81">
        <v>34.270499999999998</v>
      </c>
      <c r="Z62" s="81" t="s">
        <v>287</v>
      </c>
    </row>
    <row r="63" spans="1:26">
      <c r="A63" s="81" t="s">
        <v>559</v>
      </c>
      <c r="B63" s="82">
        <v>43679</v>
      </c>
      <c r="C63" s="81" t="s">
        <v>10</v>
      </c>
      <c r="D63" s="82">
        <v>44410</v>
      </c>
      <c r="E63" s="81" t="s">
        <v>40</v>
      </c>
      <c r="F63" s="81" t="s">
        <v>632</v>
      </c>
      <c r="G63" s="83">
        <v>4400000</v>
      </c>
      <c r="H63" s="83">
        <v>4400000</v>
      </c>
      <c r="I63" s="81" t="s">
        <v>33</v>
      </c>
      <c r="J63" s="81">
        <v>3</v>
      </c>
      <c r="K63" s="81">
        <v>1.18</v>
      </c>
      <c r="L63" s="81" t="s">
        <v>34</v>
      </c>
      <c r="M63" s="81" t="s">
        <v>34</v>
      </c>
      <c r="N63" s="81" t="s">
        <v>35</v>
      </c>
      <c r="O63" s="81" t="s">
        <v>36</v>
      </c>
      <c r="P63" s="81" t="s">
        <v>37</v>
      </c>
      <c r="Q63" s="81" t="s">
        <v>38</v>
      </c>
      <c r="R63" s="81" t="s">
        <v>39</v>
      </c>
      <c r="S63" s="81">
        <v>1.163</v>
      </c>
      <c r="T63" s="81">
        <v>10010.92</v>
      </c>
      <c r="U63" s="81">
        <v>10002.85</v>
      </c>
      <c r="V63" s="81" t="s">
        <v>66</v>
      </c>
      <c r="W63" s="81">
        <v>4000000</v>
      </c>
      <c r="X63" s="81">
        <v>1.909</v>
      </c>
      <c r="Y63" s="81">
        <v>1.9137999999999999</v>
      </c>
      <c r="Z63" s="81" t="s">
        <v>560</v>
      </c>
    </row>
    <row r="64" spans="1:26">
      <c r="A64" s="81" t="s">
        <v>503</v>
      </c>
      <c r="B64" s="82">
        <v>43618</v>
      </c>
      <c r="C64" s="81" t="s">
        <v>13</v>
      </c>
      <c r="D64" s="82">
        <v>44349</v>
      </c>
      <c r="E64" s="81" t="s">
        <v>5</v>
      </c>
      <c r="F64" s="81" t="s">
        <v>633</v>
      </c>
      <c r="G64" s="83">
        <v>11700000</v>
      </c>
      <c r="H64" s="83">
        <v>11700000</v>
      </c>
      <c r="I64" s="81" t="s">
        <v>33</v>
      </c>
      <c r="J64" s="81">
        <v>3</v>
      </c>
      <c r="K64" s="81">
        <v>1.585</v>
      </c>
      <c r="L64" s="81" t="s">
        <v>34</v>
      </c>
      <c r="M64" s="81" t="s">
        <v>34</v>
      </c>
      <c r="N64" s="81" t="s">
        <v>35</v>
      </c>
      <c r="O64" s="81" t="s">
        <v>36</v>
      </c>
      <c r="P64" s="81" t="s">
        <v>37</v>
      </c>
      <c r="Q64" s="81" t="s">
        <v>38</v>
      </c>
      <c r="R64" s="81" t="s">
        <v>39</v>
      </c>
      <c r="S64" s="81">
        <v>1.1819999999999999</v>
      </c>
      <c r="T64" s="81">
        <v>10107.049999999999</v>
      </c>
      <c r="U64" s="81">
        <v>10070.44</v>
      </c>
      <c r="V64" s="81" t="s">
        <v>66</v>
      </c>
      <c r="W64" s="81">
        <v>4000000</v>
      </c>
      <c r="X64" s="81">
        <v>1.7366999999999999</v>
      </c>
      <c r="Y64" s="81">
        <v>1.7398</v>
      </c>
      <c r="Z64" s="81" t="s">
        <v>504</v>
      </c>
    </row>
    <row r="65" spans="1:26">
      <c r="A65" s="81" t="s">
        <v>475</v>
      </c>
      <c r="B65" s="82">
        <v>43557</v>
      </c>
      <c r="C65" s="81" t="s">
        <v>6</v>
      </c>
      <c r="D65" s="82">
        <v>44288</v>
      </c>
      <c r="E65" s="81" t="s">
        <v>10</v>
      </c>
      <c r="F65" s="81" t="s">
        <v>634</v>
      </c>
      <c r="G65" s="83">
        <v>13600000</v>
      </c>
      <c r="H65" s="83">
        <v>13600000</v>
      </c>
      <c r="I65" s="81" t="s">
        <v>33</v>
      </c>
      <c r="J65" s="81">
        <v>3</v>
      </c>
      <c r="K65" s="81">
        <v>1.74</v>
      </c>
      <c r="L65" s="81" t="s">
        <v>34</v>
      </c>
      <c r="M65" s="81" t="s">
        <v>34</v>
      </c>
      <c r="N65" s="81" t="s">
        <v>35</v>
      </c>
      <c r="O65" s="81" t="s">
        <v>36</v>
      </c>
      <c r="P65" s="81" t="s">
        <v>37</v>
      </c>
      <c r="Q65" s="81" t="s">
        <v>38</v>
      </c>
      <c r="R65" s="81" t="s">
        <v>39</v>
      </c>
      <c r="S65" s="81">
        <v>1.1850000000000001</v>
      </c>
      <c r="T65" s="81">
        <v>10113.73</v>
      </c>
      <c r="U65" s="81">
        <v>10087.52</v>
      </c>
      <c r="V65" s="81" t="s">
        <v>66</v>
      </c>
      <c r="W65" s="81">
        <v>4000000</v>
      </c>
      <c r="X65" s="81">
        <v>1.5737000000000001</v>
      </c>
      <c r="Y65" s="81">
        <v>1.5774999999999999</v>
      </c>
      <c r="Z65" s="81" t="s">
        <v>476</v>
      </c>
    </row>
    <row r="66" spans="1:26">
      <c r="A66" s="81" t="s">
        <v>464</v>
      </c>
      <c r="B66" s="82">
        <v>43498</v>
      </c>
      <c r="C66" s="81" t="s">
        <v>11</v>
      </c>
      <c r="D66" s="82">
        <v>44229</v>
      </c>
      <c r="E66" s="81" t="s">
        <v>6</v>
      </c>
      <c r="F66" s="81" t="s">
        <v>635</v>
      </c>
      <c r="G66" s="83">
        <v>12950000</v>
      </c>
      <c r="H66" s="83">
        <v>12950000</v>
      </c>
      <c r="I66" s="81" t="s">
        <v>33</v>
      </c>
      <c r="J66" s="81">
        <v>3</v>
      </c>
      <c r="K66" s="81">
        <v>1.81</v>
      </c>
      <c r="L66" s="81" t="s">
        <v>34</v>
      </c>
      <c r="M66" s="81" t="s">
        <v>34</v>
      </c>
      <c r="N66" s="81" t="s">
        <v>35</v>
      </c>
      <c r="O66" s="81" t="s">
        <v>36</v>
      </c>
      <c r="P66" s="81" t="s">
        <v>37</v>
      </c>
      <c r="Q66" s="81" t="s">
        <v>38</v>
      </c>
      <c r="R66" s="81" t="s">
        <v>39</v>
      </c>
      <c r="S66" s="81">
        <v>1.151</v>
      </c>
      <c r="T66" s="81">
        <v>10105.370000000001</v>
      </c>
      <c r="U66" s="81">
        <v>10093.48</v>
      </c>
      <c r="V66" s="81" t="s">
        <v>66</v>
      </c>
      <c r="W66" s="81">
        <v>4000000</v>
      </c>
      <c r="X66" s="81">
        <v>1.4141999999999999</v>
      </c>
      <c r="Y66" s="81">
        <v>1.4215</v>
      </c>
      <c r="Z66" s="81" t="s">
        <v>465</v>
      </c>
    </row>
    <row r="67" spans="1:26">
      <c r="A67" s="81" t="s">
        <v>453</v>
      </c>
      <c r="B67" s="82">
        <v>43436</v>
      </c>
      <c r="C67" s="81" t="s">
        <v>13</v>
      </c>
      <c r="D67" s="82">
        <v>44167</v>
      </c>
      <c r="E67" s="81" t="s">
        <v>5</v>
      </c>
      <c r="F67" s="81" t="s">
        <v>636</v>
      </c>
      <c r="G67" s="83">
        <v>10900000</v>
      </c>
      <c r="H67" s="83">
        <v>10900000</v>
      </c>
      <c r="I67" s="81" t="s">
        <v>33</v>
      </c>
      <c r="J67" s="81">
        <v>3</v>
      </c>
      <c r="K67" s="81">
        <v>1.93</v>
      </c>
      <c r="L67" s="81" t="s">
        <v>34</v>
      </c>
      <c r="M67" s="81" t="s">
        <v>34</v>
      </c>
      <c r="N67" s="81" t="s">
        <v>35</v>
      </c>
      <c r="O67" s="81" t="s">
        <v>36</v>
      </c>
      <c r="P67" s="81" t="s">
        <v>37</v>
      </c>
      <c r="Q67" s="81" t="s">
        <v>38</v>
      </c>
      <c r="R67" s="81" t="s">
        <v>39</v>
      </c>
      <c r="S67" s="81">
        <v>1.145</v>
      </c>
      <c r="T67" s="81">
        <v>10143.32</v>
      </c>
      <c r="U67" s="81">
        <v>10098.75</v>
      </c>
      <c r="V67" s="81" t="s">
        <v>66</v>
      </c>
      <c r="W67" s="81">
        <v>4000000</v>
      </c>
      <c r="X67" s="81">
        <v>1.2477</v>
      </c>
      <c r="Y67" s="81">
        <v>1.2506999999999999</v>
      </c>
      <c r="Z67" s="81" t="s">
        <v>454</v>
      </c>
    </row>
    <row r="68" spans="1:26">
      <c r="A68" s="81" t="s">
        <v>432</v>
      </c>
      <c r="B68" s="82">
        <v>43378</v>
      </c>
      <c r="C68" s="81" t="s">
        <v>10</v>
      </c>
      <c r="D68" s="82">
        <v>44109</v>
      </c>
      <c r="E68" s="81" t="s">
        <v>40</v>
      </c>
      <c r="F68" s="81" t="s">
        <v>637</v>
      </c>
      <c r="G68" s="83">
        <v>11320000</v>
      </c>
      <c r="H68" s="83">
        <v>11320000</v>
      </c>
      <c r="I68" s="81" t="s">
        <v>33</v>
      </c>
      <c r="J68" s="81">
        <v>3</v>
      </c>
      <c r="K68" s="81">
        <v>2.0499999999999998</v>
      </c>
      <c r="L68" s="81" t="s">
        <v>34</v>
      </c>
      <c r="M68" s="81" t="s">
        <v>34</v>
      </c>
      <c r="N68" s="81" t="s">
        <v>35</v>
      </c>
      <c r="O68" s="81" t="s">
        <v>36</v>
      </c>
      <c r="P68" s="81" t="s">
        <v>37</v>
      </c>
      <c r="Q68" s="81" t="s">
        <v>38</v>
      </c>
      <c r="R68" s="81" t="s">
        <v>39</v>
      </c>
      <c r="S68" s="81">
        <v>1.1299999999999999</v>
      </c>
      <c r="T68" s="81">
        <v>10130.08</v>
      </c>
      <c r="U68" s="81">
        <v>10101.200000000001</v>
      </c>
      <c r="V68" s="81" t="s">
        <v>66</v>
      </c>
      <c r="W68" s="81">
        <v>4000000</v>
      </c>
      <c r="X68" s="81">
        <v>1.0931999999999999</v>
      </c>
      <c r="Y68" s="81">
        <v>1.0969</v>
      </c>
      <c r="Z68" s="81" t="s">
        <v>433</v>
      </c>
    </row>
    <row r="69" spans="1:26">
      <c r="A69" s="81" t="s">
        <v>377</v>
      </c>
      <c r="B69" s="82">
        <v>43314</v>
      </c>
      <c r="C69" s="81" t="s">
        <v>4</v>
      </c>
      <c r="D69" s="82">
        <v>44045</v>
      </c>
      <c r="E69" s="81" t="s">
        <v>13</v>
      </c>
      <c r="F69" s="81" t="s">
        <v>638</v>
      </c>
      <c r="G69" s="83">
        <v>10690000</v>
      </c>
      <c r="H69" s="83">
        <v>10690000</v>
      </c>
      <c r="I69" s="81" t="s">
        <v>33</v>
      </c>
      <c r="J69" s="81">
        <v>3</v>
      </c>
      <c r="K69" s="81">
        <v>2.06</v>
      </c>
      <c r="L69" s="81" t="s">
        <v>34</v>
      </c>
      <c r="M69" s="81" t="s">
        <v>34</v>
      </c>
      <c r="N69" s="81" t="s">
        <v>35</v>
      </c>
      <c r="O69" s="81" t="s">
        <v>36</v>
      </c>
      <c r="P69" s="81" t="s">
        <v>37</v>
      </c>
      <c r="Q69" s="81" t="s">
        <v>38</v>
      </c>
      <c r="R69" s="81" t="s">
        <v>39</v>
      </c>
      <c r="S69" s="81">
        <v>1.1439999999999999</v>
      </c>
      <c r="T69" s="81">
        <v>10098.39</v>
      </c>
      <c r="U69" s="81">
        <v>10084.93</v>
      </c>
      <c r="V69" s="81" t="s">
        <v>66</v>
      </c>
      <c r="W69" s="81">
        <v>4000000</v>
      </c>
      <c r="X69" s="81">
        <v>0.92459999999999998</v>
      </c>
      <c r="Y69" s="81">
        <v>0.92679999999999996</v>
      </c>
      <c r="Z69" s="81" t="s">
        <v>378</v>
      </c>
    </row>
    <row r="70" spans="1:26">
      <c r="A70" s="81" t="s">
        <v>531</v>
      </c>
      <c r="B70" s="82">
        <v>43655</v>
      </c>
      <c r="C70" s="81" t="s">
        <v>6</v>
      </c>
      <c r="D70" s="82">
        <v>44021</v>
      </c>
      <c r="E70" s="81" t="s">
        <v>4</v>
      </c>
      <c r="F70" s="81" t="s">
        <v>639</v>
      </c>
      <c r="G70" s="83">
        <v>3340000</v>
      </c>
      <c r="H70" s="83">
        <v>3340000</v>
      </c>
      <c r="I70" s="81" t="s">
        <v>33</v>
      </c>
      <c r="J70" s="81">
        <v>3</v>
      </c>
      <c r="K70" s="81">
        <v>1.48</v>
      </c>
      <c r="L70" s="81" t="s">
        <v>34</v>
      </c>
      <c r="M70" s="81" t="s">
        <v>34</v>
      </c>
      <c r="N70" s="81" t="s">
        <v>35</v>
      </c>
      <c r="O70" s="81" t="s">
        <v>36</v>
      </c>
      <c r="P70" s="81" t="s">
        <v>37</v>
      </c>
      <c r="Q70" s="81" t="s">
        <v>38</v>
      </c>
      <c r="R70" s="81" t="s">
        <v>39</v>
      </c>
      <c r="S70" s="81">
        <v>1.141</v>
      </c>
      <c r="T70" s="81">
        <v>10048.530000000001</v>
      </c>
      <c r="U70" s="81">
        <v>10028.92</v>
      </c>
      <c r="V70" s="81" t="s">
        <v>66</v>
      </c>
      <c r="W70" s="81">
        <v>4000000</v>
      </c>
      <c r="X70" s="81">
        <v>0.86180000000000001</v>
      </c>
      <c r="Y70" s="81">
        <v>0.86329999999999996</v>
      </c>
      <c r="Z70" s="81" t="s">
        <v>532</v>
      </c>
    </row>
    <row r="71" spans="1:26">
      <c r="A71" s="81" t="s">
        <v>364</v>
      </c>
      <c r="B71" s="82">
        <v>43253</v>
      </c>
      <c r="C71" s="81" t="s">
        <v>11</v>
      </c>
      <c r="D71" s="82">
        <v>43984</v>
      </c>
      <c r="E71" s="81" t="s">
        <v>6</v>
      </c>
      <c r="F71" s="81" t="s">
        <v>640</v>
      </c>
      <c r="G71" s="83">
        <v>12020000</v>
      </c>
      <c r="H71" s="83">
        <v>12020000</v>
      </c>
      <c r="I71" s="81" t="s">
        <v>33</v>
      </c>
      <c r="J71" s="81">
        <v>3</v>
      </c>
      <c r="K71" s="81">
        <v>2.14</v>
      </c>
      <c r="L71" s="81" t="s">
        <v>34</v>
      </c>
      <c r="M71" s="81" t="s">
        <v>34</v>
      </c>
      <c r="N71" s="81" t="s">
        <v>35</v>
      </c>
      <c r="O71" s="81" t="s">
        <v>36</v>
      </c>
      <c r="P71" s="81" t="s">
        <v>37</v>
      </c>
      <c r="Q71" s="81" t="s">
        <v>38</v>
      </c>
      <c r="R71" s="81" t="s">
        <v>39</v>
      </c>
      <c r="S71" s="81">
        <v>1.1339999999999999</v>
      </c>
      <c r="T71" s="81">
        <v>10126.33</v>
      </c>
      <c r="U71" s="81">
        <v>10076.68</v>
      </c>
      <c r="V71" s="81" t="s">
        <v>66</v>
      </c>
      <c r="W71" s="81">
        <v>4000000</v>
      </c>
      <c r="X71" s="81">
        <v>0.75900000000000001</v>
      </c>
      <c r="Y71" s="81">
        <v>0.75980000000000003</v>
      </c>
      <c r="Z71" s="81" t="s">
        <v>365</v>
      </c>
    </row>
    <row r="72" spans="1:26">
      <c r="A72" s="81" t="s">
        <v>487</v>
      </c>
      <c r="B72" s="82">
        <v>43594</v>
      </c>
      <c r="C72" s="81" t="s">
        <v>4</v>
      </c>
      <c r="D72" s="82">
        <v>43960</v>
      </c>
      <c r="E72" s="81" t="s">
        <v>11</v>
      </c>
      <c r="F72" s="81" t="s">
        <v>641</v>
      </c>
      <c r="G72" s="83">
        <v>5100000</v>
      </c>
      <c r="H72" s="83">
        <v>5100000</v>
      </c>
      <c r="I72" s="81" t="s">
        <v>33</v>
      </c>
      <c r="J72" s="81">
        <v>3</v>
      </c>
      <c r="K72" s="81">
        <v>1.7150000000000001</v>
      </c>
      <c r="L72" s="81" t="s">
        <v>34</v>
      </c>
      <c r="M72" s="81" t="s">
        <v>34</v>
      </c>
      <c r="N72" s="81" t="s">
        <v>35</v>
      </c>
      <c r="O72" s="81" t="s">
        <v>36</v>
      </c>
      <c r="P72" s="81" t="s">
        <v>37</v>
      </c>
      <c r="Q72" s="81" t="s">
        <v>38</v>
      </c>
      <c r="R72" s="81" t="s">
        <v>39</v>
      </c>
      <c r="S72" s="81">
        <v>1.1579999999999999</v>
      </c>
      <c r="T72" s="81">
        <v>10046.86</v>
      </c>
      <c r="U72" s="81">
        <v>10038.83</v>
      </c>
      <c r="V72" s="81" t="s">
        <v>66</v>
      </c>
      <c r="W72" s="81">
        <v>4000000</v>
      </c>
      <c r="X72" s="81">
        <v>0.69869999999999999</v>
      </c>
      <c r="Y72" s="81">
        <v>0.69899999999999995</v>
      </c>
      <c r="Z72" s="81" t="s">
        <v>488</v>
      </c>
    </row>
    <row r="73" spans="1:26">
      <c r="A73" s="81" t="s">
        <v>352</v>
      </c>
      <c r="B73" s="82">
        <v>43192</v>
      </c>
      <c r="C73" s="81" t="s">
        <v>40</v>
      </c>
      <c r="D73" s="82">
        <v>43923</v>
      </c>
      <c r="E73" s="81" t="s">
        <v>4</v>
      </c>
      <c r="F73" s="81" t="s">
        <v>642</v>
      </c>
      <c r="G73" s="83">
        <v>13240000</v>
      </c>
      <c r="H73" s="83">
        <v>11590000</v>
      </c>
      <c r="I73" s="81" t="s">
        <v>33</v>
      </c>
      <c r="J73" s="81">
        <v>3</v>
      </c>
      <c r="K73" s="81">
        <v>2.12</v>
      </c>
      <c r="L73" s="81" t="s">
        <v>34</v>
      </c>
      <c r="M73" s="81" t="s">
        <v>34</v>
      </c>
      <c r="N73" s="81" t="s">
        <v>35</v>
      </c>
      <c r="O73" s="81" t="s">
        <v>36</v>
      </c>
      <c r="P73" s="81" t="s">
        <v>37</v>
      </c>
      <c r="Q73" s="81" t="s">
        <v>38</v>
      </c>
      <c r="R73" s="81" t="s">
        <v>39</v>
      </c>
      <c r="S73" s="81">
        <v>1.151</v>
      </c>
      <c r="T73" s="81">
        <v>10089.540000000001</v>
      </c>
      <c r="U73" s="81">
        <v>10057.82</v>
      </c>
      <c r="V73" s="81" t="s">
        <v>66</v>
      </c>
      <c r="W73" s="81">
        <v>4000000</v>
      </c>
      <c r="X73" s="81">
        <v>0.59499999999999997</v>
      </c>
      <c r="Y73" s="81">
        <v>0.59709999999999996</v>
      </c>
      <c r="Z73" s="81" t="s">
        <v>353</v>
      </c>
    </row>
    <row r="74" spans="1:26">
      <c r="A74" s="81" t="s">
        <v>469</v>
      </c>
      <c r="B74" s="82">
        <v>43533</v>
      </c>
      <c r="C74" s="81" t="s">
        <v>11</v>
      </c>
      <c r="D74" s="82">
        <v>43899</v>
      </c>
      <c r="E74" s="81" t="s">
        <v>40</v>
      </c>
      <c r="F74" s="81" t="s">
        <v>643</v>
      </c>
      <c r="G74" s="83">
        <v>5850000</v>
      </c>
      <c r="H74" s="83">
        <v>5850000</v>
      </c>
      <c r="I74" s="81" t="s">
        <v>33</v>
      </c>
      <c r="J74" s="81">
        <v>3</v>
      </c>
      <c r="K74" s="81">
        <v>1.83</v>
      </c>
      <c r="L74" s="81" t="s">
        <v>34</v>
      </c>
      <c r="M74" s="81" t="s">
        <v>34</v>
      </c>
      <c r="N74" s="81" t="s">
        <v>35</v>
      </c>
      <c r="O74" s="81" t="s">
        <v>36</v>
      </c>
      <c r="P74" s="81" t="s">
        <v>37</v>
      </c>
      <c r="Q74" s="81" t="s">
        <v>38</v>
      </c>
      <c r="R74" s="81" t="s">
        <v>39</v>
      </c>
      <c r="S74" s="81">
        <v>1.177</v>
      </c>
      <c r="T74" s="81">
        <v>10073.719999999999</v>
      </c>
      <c r="U74" s="81">
        <v>10034.959999999999</v>
      </c>
      <c r="V74" s="81" t="s">
        <v>66</v>
      </c>
      <c r="W74" s="81">
        <v>4000000</v>
      </c>
      <c r="X74" s="81">
        <v>0.53310000000000002</v>
      </c>
      <c r="Y74" s="81">
        <v>0.53210000000000002</v>
      </c>
      <c r="Z74" s="81" t="s">
        <v>470</v>
      </c>
    </row>
    <row r="75" spans="1:26">
      <c r="A75" s="81" t="s">
        <v>581</v>
      </c>
      <c r="B75" s="82">
        <v>43697</v>
      </c>
      <c r="C75" s="81" t="s">
        <v>6</v>
      </c>
      <c r="D75" s="82">
        <v>43879</v>
      </c>
      <c r="E75" s="81" t="s">
        <v>6</v>
      </c>
      <c r="F75" s="81" t="s">
        <v>644</v>
      </c>
      <c r="G75" s="83">
        <v>300000</v>
      </c>
      <c r="H75" s="83">
        <v>300000</v>
      </c>
      <c r="I75" s="81" t="s">
        <v>8</v>
      </c>
      <c r="J75" s="81">
        <v>12</v>
      </c>
      <c r="K75" s="81">
        <v>1.1830000000000001</v>
      </c>
      <c r="L75" s="81" t="s">
        <v>34</v>
      </c>
      <c r="M75" s="81" t="s">
        <v>34</v>
      </c>
      <c r="N75" s="81" t="s">
        <v>35</v>
      </c>
      <c r="O75" s="81" t="s">
        <v>36</v>
      </c>
      <c r="P75" s="81" t="s">
        <v>37</v>
      </c>
      <c r="Q75" s="81" t="s">
        <v>38</v>
      </c>
      <c r="R75" s="81" t="s">
        <v>39</v>
      </c>
      <c r="S75" s="81">
        <v>1.1830000000000001</v>
      </c>
      <c r="T75" s="81">
        <v>9943.26</v>
      </c>
      <c r="U75" s="81">
        <v>9943.42</v>
      </c>
      <c r="V75" s="81" t="s">
        <v>66</v>
      </c>
      <c r="W75" s="81">
        <v>4000000</v>
      </c>
      <c r="X75" s="81">
        <v>0.47939999999999999</v>
      </c>
      <c r="Y75" s="81">
        <v>0.48080000000000001</v>
      </c>
      <c r="Z75" s="81" t="s">
        <v>582</v>
      </c>
    </row>
    <row r="76" spans="1:26">
      <c r="A76" s="81" t="s">
        <v>555</v>
      </c>
      <c r="B76" s="82">
        <v>43683</v>
      </c>
      <c r="C76" s="81" t="s">
        <v>6</v>
      </c>
      <c r="D76" s="82">
        <v>43865</v>
      </c>
      <c r="E76" s="81" t="s">
        <v>6</v>
      </c>
      <c r="F76" s="81" t="s">
        <v>645</v>
      </c>
      <c r="G76" s="83">
        <v>300000</v>
      </c>
      <c r="H76" s="83">
        <v>300000</v>
      </c>
      <c r="I76" s="81" t="s">
        <v>8</v>
      </c>
      <c r="J76" s="81">
        <v>12</v>
      </c>
      <c r="K76" s="81">
        <v>1.2909999999999999</v>
      </c>
      <c r="L76" s="81" t="s">
        <v>34</v>
      </c>
      <c r="M76" s="81" t="s">
        <v>34</v>
      </c>
      <c r="N76" s="81" t="s">
        <v>35</v>
      </c>
      <c r="O76" s="81" t="s">
        <v>36</v>
      </c>
      <c r="P76" s="81" t="s">
        <v>37</v>
      </c>
      <c r="Q76" s="81" t="s">
        <v>38</v>
      </c>
      <c r="R76" s="81" t="s">
        <v>39</v>
      </c>
      <c r="S76" s="81">
        <v>1.2030000000000001</v>
      </c>
      <c r="T76" s="81">
        <v>9946.8700000000008</v>
      </c>
      <c r="U76" s="81">
        <v>9946.7999999999993</v>
      </c>
      <c r="V76" s="81" t="s">
        <v>66</v>
      </c>
      <c r="W76" s="81">
        <v>4000000</v>
      </c>
      <c r="X76" s="81">
        <v>0.44140000000000001</v>
      </c>
      <c r="Y76" s="81">
        <v>0.44259999999999999</v>
      </c>
      <c r="Z76" s="81" t="s">
        <v>556</v>
      </c>
    </row>
    <row r="77" spans="1:26">
      <c r="A77" s="81" t="s">
        <v>342</v>
      </c>
      <c r="B77" s="82">
        <v>43133</v>
      </c>
      <c r="C77" s="81" t="s">
        <v>10</v>
      </c>
      <c r="D77" s="82">
        <v>43863</v>
      </c>
      <c r="E77" s="81" t="s">
        <v>13</v>
      </c>
      <c r="F77" s="81" t="s">
        <v>646</v>
      </c>
      <c r="G77" s="83">
        <v>12110000</v>
      </c>
      <c r="H77" s="83">
        <v>9460000</v>
      </c>
      <c r="I77" s="81" t="s">
        <v>33</v>
      </c>
      <c r="J77" s="81">
        <v>3</v>
      </c>
      <c r="K77" s="81">
        <v>2.16</v>
      </c>
      <c r="L77" s="81" t="s">
        <v>34</v>
      </c>
      <c r="M77" s="81" t="s">
        <v>34</v>
      </c>
      <c r="N77" s="81" t="s">
        <v>35</v>
      </c>
      <c r="O77" s="81" t="s">
        <v>36</v>
      </c>
      <c r="P77" s="81" t="s">
        <v>37</v>
      </c>
      <c r="Q77" s="81" t="s">
        <v>38</v>
      </c>
      <c r="R77" s="81" t="s">
        <v>39</v>
      </c>
      <c r="S77" s="81">
        <v>1.1850000000000001</v>
      </c>
      <c r="T77" s="81">
        <v>10056.280000000001</v>
      </c>
      <c r="U77" s="81">
        <v>10042.200000000001</v>
      </c>
      <c r="V77" s="81" t="s">
        <v>66</v>
      </c>
      <c r="W77" s="81">
        <v>4000000</v>
      </c>
      <c r="X77" s="81">
        <v>0.43230000000000002</v>
      </c>
      <c r="Y77" s="81">
        <v>0.43580000000000002</v>
      </c>
      <c r="Z77" s="81" t="s">
        <v>343</v>
      </c>
    </row>
    <row r="78" spans="1:26">
      <c r="A78" s="81" t="s">
        <v>540</v>
      </c>
      <c r="B78" s="82">
        <v>43662</v>
      </c>
      <c r="C78" s="81" t="s">
        <v>6</v>
      </c>
      <c r="D78" s="82">
        <v>43844</v>
      </c>
      <c r="E78" s="81" t="s">
        <v>6</v>
      </c>
      <c r="F78" s="81" t="s">
        <v>647</v>
      </c>
      <c r="G78" s="83">
        <v>300000</v>
      </c>
      <c r="H78" s="83">
        <v>300000</v>
      </c>
      <c r="I78" s="81" t="s">
        <v>8</v>
      </c>
      <c r="J78" s="81">
        <v>12</v>
      </c>
      <c r="K78" s="81">
        <v>1.46</v>
      </c>
      <c r="L78" s="81" t="s">
        <v>34</v>
      </c>
      <c r="M78" s="81" t="s">
        <v>34</v>
      </c>
      <c r="N78" s="81" t="s">
        <v>35</v>
      </c>
      <c r="O78" s="81" t="s">
        <v>36</v>
      </c>
      <c r="P78" s="81" t="s">
        <v>37</v>
      </c>
      <c r="Q78" s="81" t="s">
        <v>38</v>
      </c>
      <c r="R78" s="81" t="s">
        <v>39</v>
      </c>
      <c r="S78" s="81">
        <v>1.2090000000000001</v>
      </c>
      <c r="T78" s="81">
        <v>9953.5</v>
      </c>
      <c r="U78" s="81">
        <v>9953.58</v>
      </c>
      <c r="V78" s="81" t="s">
        <v>66</v>
      </c>
      <c r="W78" s="81">
        <v>4000000</v>
      </c>
      <c r="X78" s="81">
        <v>0.38450000000000001</v>
      </c>
      <c r="Y78" s="81">
        <v>0.38519999999999999</v>
      </c>
      <c r="Z78" s="81" t="s">
        <v>541</v>
      </c>
    </row>
    <row r="79" spans="1:26">
      <c r="A79" s="81" t="s">
        <v>460</v>
      </c>
      <c r="B79" s="82">
        <v>43474</v>
      </c>
      <c r="C79" s="81" t="s">
        <v>5</v>
      </c>
      <c r="D79" s="82">
        <v>43839</v>
      </c>
      <c r="E79" s="81" t="s">
        <v>4</v>
      </c>
      <c r="F79" s="81" t="s">
        <v>648</v>
      </c>
      <c r="G79" s="83">
        <v>5180000</v>
      </c>
      <c r="H79" s="83">
        <v>5180000</v>
      </c>
      <c r="I79" s="81" t="s">
        <v>33</v>
      </c>
      <c r="J79" s="81">
        <v>3</v>
      </c>
      <c r="K79" s="81">
        <v>1.82</v>
      </c>
      <c r="L79" s="81" t="s">
        <v>34</v>
      </c>
      <c r="M79" s="81" t="s">
        <v>34</v>
      </c>
      <c r="N79" s="81" t="s">
        <v>35</v>
      </c>
      <c r="O79" s="81" t="s">
        <v>36</v>
      </c>
      <c r="P79" s="81" t="s">
        <v>37</v>
      </c>
      <c r="Q79" s="81" t="s">
        <v>38</v>
      </c>
      <c r="R79" s="81" t="s">
        <v>39</v>
      </c>
      <c r="S79" s="81">
        <v>1.216</v>
      </c>
      <c r="T79" s="81">
        <v>10045.91</v>
      </c>
      <c r="U79" s="81">
        <v>10022.25</v>
      </c>
      <c r="V79" s="81" t="s">
        <v>66</v>
      </c>
      <c r="W79" s="81">
        <v>4000000</v>
      </c>
      <c r="X79" s="81">
        <v>0.36749999999999999</v>
      </c>
      <c r="Y79" s="81">
        <v>0.37040000000000001</v>
      </c>
      <c r="Z79" s="81" t="s">
        <v>461</v>
      </c>
    </row>
    <row r="80" spans="1:26">
      <c r="A80" s="81" t="s">
        <v>525</v>
      </c>
      <c r="B80" s="82">
        <v>43648</v>
      </c>
      <c r="C80" s="81" t="s">
        <v>6</v>
      </c>
      <c r="D80" s="82">
        <v>43830</v>
      </c>
      <c r="E80" s="81" t="s">
        <v>6</v>
      </c>
      <c r="F80" s="81" t="s">
        <v>649</v>
      </c>
      <c r="G80" s="83">
        <v>300000</v>
      </c>
      <c r="H80" s="83">
        <v>300000</v>
      </c>
      <c r="I80" s="81" t="s">
        <v>8</v>
      </c>
      <c r="J80" s="81">
        <v>12</v>
      </c>
      <c r="K80" s="81">
        <v>1.528</v>
      </c>
      <c r="L80" s="81" t="s">
        <v>34</v>
      </c>
      <c r="M80" s="81" t="s">
        <v>34</v>
      </c>
      <c r="N80" s="81" t="s">
        <v>35</v>
      </c>
      <c r="O80" s="81" t="s">
        <v>36</v>
      </c>
      <c r="P80" s="81" t="s">
        <v>37</v>
      </c>
      <c r="Q80" s="81" t="s">
        <v>38</v>
      </c>
      <c r="R80" s="81" t="s">
        <v>39</v>
      </c>
      <c r="S80" s="81">
        <v>1.2250000000000001</v>
      </c>
      <c r="T80" s="81">
        <v>9957.52</v>
      </c>
      <c r="U80" s="81">
        <v>9957.5499999999993</v>
      </c>
      <c r="V80" s="81" t="s">
        <v>66</v>
      </c>
      <c r="W80" s="81">
        <v>4000000</v>
      </c>
      <c r="X80" s="81">
        <v>0.34639999999999999</v>
      </c>
      <c r="Y80" s="81">
        <v>0.34689999999999999</v>
      </c>
      <c r="Z80" s="81" t="s">
        <v>526</v>
      </c>
    </row>
    <row r="81" spans="1:26">
      <c r="A81" s="81" t="s">
        <v>515</v>
      </c>
      <c r="B81" s="82">
        <v>43634</v>
      </c>
      <c r="C81" s="81" t="s">
        <v>6</v>
      </c>
      <c r="D81" s="82">
        <v>43816</v>
      </c>
      <c r="E81" s="81" t="s">
        <v>6</v>
      </c>
      <c r="F81" s="81" t="s">
        <v>564</v>
      </c>
      <c r="G81" s="83">
        <v>300000</v>
      </c>
      <c r="H81" s="83">
        <v>300000</v>
      </c>
      <c r="I81" s="81" t="s">
        <v>8</v>
      </c>
      <c r="J81" s="81">
        <v>12</v>
      </c>
      <c r="K81" s="81">
        <v>1.528</v>
      </c>
      <c r="L81" s="81" t="s">
        <v>34</v>
      </c>
      <c r="M81" s="81" t="s">
        <v>34</v>
      </c>
      <c r="N81" s="81" t="s">
        <v>35</v>
      </c>
      <c r="O81" s="81" t="s">
        <v>36</v>
      </c>
      <c r="P81" s="81" t="s">
        <v>37</v>
      </c>
      <c r="Q81" s="81" t="s">
        <v>38</v>
      </c>
      <c r="R81" s="81" t="s">
        <v>39</v>
      </c>
      <c r="S81" s="81">
        <v>1.23</v>
      </c>
      <c r="T81" s="81">
        <v>9962.0400000000009</v>
      </c>
      <c r="U81" s="81">
        <v>9962.15</v>
      </c>
      <c r="V81" s="81" t="s">
        <v>66</v>
      </c>
      <c r="W81" s="81">
        <v>4000000</v>
      </c>
      <c r="X81" s="81">
        <v>0.30840000000000001</v>
      </c>
      <c r="Y81" s="81">
        <v>0.30869999999999997</v>
      </c>
      <c r="Z81" s="81" t="s">
        <v>516</v>
      </c>
    </row>
    <row r="82" spans="1:26">
      <c r="A82" s="81" t="s">
        <v>497</v>
      </c>
      <c r="B82" s="82">
        <v>43620</v>
      </c>
      <c r="C82" s="81" t="s">
        <v>6</v>
      </c>
      <c r="D82" s="82">
        <v>43802</v>
      </c>
      <c r="E82" s="81" t="s">
        <v>6</v>
      </c>
      <c r="F82" s="81" t="s">
        <v>650</v>
      </c>
      <c r="G82" s="83">
        <v>300000</v>
      </c>
      <c r="H82" s="83">
        <v>300000</v>
      </c>
      <c r="I82" s="81" t="s">
        <v>8</v>
      </c>
      <c r="J82" s="81">
        <v>12</v>
      </c>
      <c r="K82" s="81">
        <v>1.607</v>
      </c>
      <c r="L82" s="81" t="s">
        <v>34</v>
      </c>
      <c r="M82" s="81" t="s">
        <v>34</v>
      </c>
      <c r="N82" s="81" t="s">
        <v>35</v>
      </c>
      <c r="O82" s="81" t="s">
        <v>36</v>
      </c>
      <c r="P82" s="81" t="s">
        <v>37</v>
      </c>
      <c r="Q82" s="81" t="s">
        <v>38</v>
      </c>
      <c r="R82" s="81" t="s">
        <v>39</v>
      </c>
      <c r="S82" s="81">
        <v>1.2350000000000001</v>
      </c>
      <c r="T82" s="81">
        <v>9966.59</v>
      </c>
      <c r="U82" s="81">
        <v>9966.74</v>
      </c>
      <c r="V82" s="81" t="s">
        <v>66</v>
      </c>
      <c r="W82" s="81">
        <v>4000000</v>
      </c>
      <c r="X82" s="81">
        <v>0.27029999999999998</v>
      </c>
      <c r="Y82" s="81">
        <v>0.27039999999999997</v>
      </c>
      <c r="Z82" s="81" t="s">
        <v>498</v>
      </c>
    </row>
    <row r="83" spans="1:26">
      <c r="A83" s="81" t="s">
        <v>332</v>
      </c>
      <c r="B83" s="82">
        <v>43071</v>
      </c>
      <c r="C83" s="81" t="s">
        <v>11</v>
      </c>
      <c r="D83" s="82">
        <v>43801</v>
      </c>
      <c r="E83" s="81" t="s">
        <v>40</v>
      </c>
      <c r="F83" s="81" t="s">
        <v>651</v>
      </c>
      <c r="G83" s="83">
        <v>12440000</v>
      </c>
      <c r="H83" s="83">
        <v>10330000</v>
      </c>
      <c r="I83" s="81" t="s">
        <v>33</v>
      </c>
      <c r="J83" s="81">
        <v>3</v>
      </c>
      <c r="K83" s="81">
        <v>2.06</v>
      </c>
      <c r="L83" s="81" t="s">
        <v>34</v>
      </c>
      <c r="M83" s="81" t="s">
        <v>34</v>
      </c>
      <c r="N83" s="81" t="s">
        <v>35</v>
      </c>
      <c r="O83" s="81" t="s">
        <v>36</v>
      </c>
      <c r="P83" s="81" t="s">
        <v>37</v>
      </c>
      <c r="Q83" s="81" t="s">
        <v>38</v>
      </c>
      <c r="R83" s="81" t="s">
        <v>39</v>
      </c>
      <c r="S83" s="81">
        <v>1.2370000000000001</v>
      </c>
      <c r="T83" s="81">
        <v>10069.629999999999</v>
      </c>
      <c r="U83" s="81">
        <v>10022.25</v>
      </c>
      <c r="V83" s="81" t="s">
        <v>66</v>
      </c>
      <c r="W83" s="81">
        <v>4000000</v>
      </c>
      <c r="X83" s="81">
        <v>0.26690000000000003</v>
      </c>
      <c r="Y83" s="81">
        <v>0.26640000000000003</v>
      </c>
      <c r="Z83" s="81" t="s">
        <v>333</v>
      </c>
    </row>
    <row r="84" spans="1:26">
      <c r="B84" s="82"/>
      <c r="D84" s="82"/>
      <c r="G84" s="83"/>
      <c r="H84" s="83"/>
    </row>
    <row r="85" spans="1:26">
      <c r="A85" s="81" t="s">
        <v>489</v>
      </c>
      <c r="B85" s="82">
        <v>43606</v>
      </c>
      <c r="C85" s="81" t="s">
        <v>6</v>
      </c>
      <c r="D85" s="82">
        <v>43788</v>
      </c>
      <c r="E85" s="81" t="s">
        <v>6</v>
      </c>
      <c r="F85" s="81" t="s">
        <v>565</v>
      </c>
      <c r="G85" s="83">
        <v>300000</v>
      </c>
      <c r="H85" s="83">
        <v>300000</v>
      </c>
      <c r="I85" s="81" t="s">
        <v>8</v>
      </c>
      <c r="J85" s="81">
        <v>12</v>
      </c>
      <c r="K85" s="81">
        <v>1.637</v>
      </c>
      <c r="L85" s="81" t="s">
        <v>34</v>
      </c>
      <c r="M85" s="81" t="s">
        <v>34</v>
      </c>
      <c r="N85" s="81" t="s">
        <v>35</v>
      </c>
      <c r="O85" s="81" t="s">
        <v>36</v>
      </c>
      <c r="P85" s="81" t="s">
        <v>37</v>
      </c>
      <c r="Q85" s="81" t="s">
        <v>38</v>
      </c>
      <c r="R85" s="81" t="s">
        <v>39</v>
      </c>
      <c r="S85" s="81">
        <v>1.2529999999999999</v>
      </c>
      <c r="T85" s="81">
        <v>9970.89</v>
      </c>
      <c r="U85" s="81">
        <v>9970.85</v>
      </c>
      <c r="V85" s="81" t="s">
        <v>66</v>
      </c>
      <c r="W85" s="81">
        <v>4000000</v>
      </c>
      <c r="X85" s="81">
        <v>0.23219999999999999</v>
      </c>
      <c r="Y85" s="81">
        <v>0.23219999999999999</v>
      </c>
      <c r="Z85" s="81" t="s">
        <v>490</v>
      </c>
    </row>
    <row r="86" spans="1:26">
      <c r="A86" s="81" t="s">
        <v>583</v>
      </c>
      <c r="B86" s="82">
        <v>43697</v>
      </c>
      <c r="C86" s="81" t="s">
        <v>6</v>
      </c>
      <c r="D86" s="82">
        <v>43788</v>
      </c>
      <c r="E86" s="81" t="s">
        <v>6</v>
      </c>
      <c r="F86" s="81" t="s">
        <v>565</v>
      </c>
      <c r="G86" s="83">
        <v>900000</v>
      </c>
      <c r="H86" s="83">
        <v>900000</v>
      </c>
      <c r="I86" s="81" t="s">
        <v>8</v>
      </c>
      <c r="J86" s="81">
        <v>12</v>
      </c>
      <c r="K86" s="81">
        <v>1.266</v>
      </c>
      <c r="L86" s="81" t="s">
        <v>34</v>
      </c>
      <c r="M86" s="81" t="s">
        <v>34</v>
      </c>
      <c r="N86" s="81" t="s">
        <v>35</v>
      </c>
      <c r="O86" s="81" t="s">
        <v>36</v>
      </c>
      <c r="P86" s="81" t="s">
        <v>37</v>
      </c>
      <c r="Q86" s="81" t="s">
        <v>38</v>
      </c>
      <c r="R86" s="81" t="s">
        <v>39</v>
      </c>
      <c r="S86" s="81">
        <v>1.2549999999999999</v>
      </c>
      <c r="T86" s="81">
        <v>9970.85</v>
      </c>
      <c r="U86" s="81">
        <v>9970.85</v>
      </c>
      <c r="V86" s="81" t="s">
        <v>66</v>
      </c>
      <c r="W86" s="81">
        <v>4000000</v>
      </c>
      <c r="X86" s="81">
        <v>0.2321</v>
      </c>
      <c r="Y86" s="81">
        <v>0.23219999999999999</v>
      </c>
      <c r="Z86" s="81" t="s">
        <v>584</v>
      </c>
    </row>
    <row r="87" spans="1:26">
      <c r="A87" s="81" t="s">
        <v>576</v>
      </c>
      <c r="B87" s="82">
        <v>43690</v>
      </c>
      <c r="C87" s="81" t="s">
        <v>6</v>
      </c>
      <c r="D87" s="82">
        <v>43781</v>
      </c>
      <c r="E87" s="81" t="s">
        <v>6</v>
      </c>
      <c r="F87" s="81" t="s">
        <v>566</v>
      </c>
      <c r="G87" s="83">
        <v>900000</v>
      </c>
      <c r="H87" s="83">
        <v>900000</v>
      </c>
      <c r="I87" s="81" t="s">
        <v>8</v>
      </c>
      <c r="J87" s="81">
        <v>12</v>
      </c>
      <c r="K87" s="81">
        <v>1.2769999999999999</v>
      </c>
      <c r="L87" s="81" t="s">
        <v>34</v>
      </c>
      <c r="M87" s="81" t="s">
        <v>34</v>
      </c>
      <c r="N87" s="81" t="s">
        <v>35</v>
      </c>
      <c r="O87" s="81" t="s">
        <v>36</v>
      </c>
      <c r="P87" s="81" t="s">
        <v>37</v>
      </c>
      <c r="Q87" s="81" t="s">
        <v>38</v>
      </c>
      <c r="R87" s="81" t="s">
        <v>39</v>
      </c>
      <c r="S87" s="81">
        <v>1.26</v>
      </c>
      <c r="T87" s="81">
        <v>9973.14</v>
      </c>
      <c r="U87" s="81">
        <v>9973.14</v>
      </c>
      <c r="V87" s="81" t="s">
        <v>66</v>
      </c>
      <c r="W87" s="81">
        <v>4000000</v>
      </c>
      <c r="X87" s="81">
        <v>0.21310000000000001</v>
      </c>
      <c r="Y87" s="81">
        <v>0.21310000000000001</v>
      </c>
      <c r="Z87" s="81" t="s">
        <v>577</v>
      </c>
    </row>
    <row r="88" spans="1:26">
      <c r="A88" s="81" t="s">
        <v>451</v>
      </c>
      <c r="B88" s="82">
        <v>43413</v>
      </c>
      <c r="C88" s="81" t="s">
        <v>10</v>
      </c>
      <c r="D88" s="82">
        <v>43778</v>
      </c>
      <c r="E88" s="81" t="s">
        <v>11</v>
      </c>
      <c r="F88" s="81" t="s">
        <v>586</v>
      </c>
      <c r="G88" s="83">
        <v>4680000</v>
      </c>
      <c r="H88" s="83">
        <v>3960000</v>
      </c>
      <c r="I88" s="81" t="s">
        <v>33</v>
      </c>
      <c r="J88" s="81">
        <v>3</v>
      </c>
      <c r="K88" s="81">
        <v>1.87</v>
      </c>
      <c r="L88" s="81" t="s">
        <v>34</v>
      </c>
      <c r="M88" s="81" t="s">
        <v>34</v>
      </c>
      <c r="N88" s="81" t="s">
        <v>35</v>
      </c>
      <c r="O88" s="81" t="s">
        <v>36</v>
      </c>
      <c r="P88" s="81" t="s">
        <v>37</v>
      </c>
      <c r="Q88" s="81" t="s">
        <v>38</v>
      </c>
      <c r="R88" s="81" t="s">
        <v>39</v>
      </c>
      <c r="S88" s="81">
        <v>1.2629999999999999</v>
      </c>
      <c r="T88" s="81">
        <v>10020.94</v>
      </c>
      <c r="U88" s="81">
        <v>10012.379999999999</v>
      </c>
      <c r="V88" s="81" t="s">
        <v>66</v>
      </c>
      <c r="W88" s="81">
        <v>4000000</v>
      </c>
      <c r="X88" s="81">
        <v>0.20319999999999999</v>
      </c>
      <c r="Y88" s="81">
        <v>0.2049</v>
      </c>
      <c r="Z88" s="81" t="s">
        <v>452</v>
      </c>
    </row>
    <row r="89" spans="1:26">
      <c r="A89" s="81" t="s">
        <v>485</v>
      </c>
      <c r="B89" s="82">
        <v>43592</v>
      </c>
      <c r="C89" s="81" t="s">
        <v>6</v>
      </c>
      <c r="D89" s="82">
        <v>43774</v>
      </c>
      <c r="E89" s="81" t="s">
        <v>6</v>
      </c>
      <c r="F89" s="81" t="s">
        <v>567</v>
      </c>
      <c r="G89" s="83">
        <v>300000</v>
      </c>
      <c r="H89" s="83">
        <v>300000</v>
      </c>
      <c r="I89" s="81" t="s">
        <v>8</v>
      </c>
      <c r="J89" s="81">
        <v>12</v>
      </c>
      <c r="K89" s="81">
        <v>1.716</v>
      </c>
      <c r="L89" s="81" t="s">
        <v>34</v>
      </c>
      <c r="M89" s="81" t="s">
        <v>34</v>
      </c>
      <c r="N89" s="81" t="s">
        <v>35</v>
      </c>
      <c r="O89" s="81" t="s">
        <v>36</v>
      </c>
      <c r="P89" s="81" t="s">
        <v>37</v>
      </c>
      <c r="Q89" s="81" t="s">
        <v>38</v>
      </c>
      <c r="R89" s="81" t="s">
        <v>39</v>
      </c>
      <c r="S89" s="81">
        <v>1.276</v>
      </c>
      <c r="T89" s="81">
        <v>9975.2199999999993</v>
      </c>
      <c r="U89" s="81">
        <v>9975.16</v>
      </c>
      <c r="V89" s="81" t="s">
        <v>66</v>
      </c>
      <c r="W89" s="81">
        <v>4000000</v>
      </c>
      <c r="X89" s="81">
        <v>0.19400000000000001</v>
      </c>
      <c r="Y89" s="81">
        <v>0.19389999999999999</v>
      </c>
      <c r="Z89" s="81" t="s">
        <v>486</v>
      </c>
    </row>
    <row r="90" spans="1:26">
      <c r="A90" s="81" t="s">
        <v>557</v>
      </c>
      <c r="B90" s="82">
        <v>43683</v>
      </c>
      <c r="C90" s="81" t="s">
        <v>6</v>
      </c>
      <c r="D90" s="82">
        <v>43774</v>
      </c>
      <c r="E90" s="81" t="s">
        <v>6</v>
      </c>
      <c r="F90" s="81" t="s">
        <v>567</v>
      </c>
      <c r="G90" s="83">
        <v>900000</v>
      </c>
      <c r="H90" s="83">
        <v>900000</v>
      </c>
      <c r="I90" s="81" t="s">
        <v>8</v>
      </c>
      <c r="J90" s="81">
        <v>12</v>
      </c>
      <c r="K90" s="81">
        <v>1.3360000000000001</v>
      </c>
      <c r="L90" s="81" t="s">
        <v>34</v>
      </c>
      <c r="M90" s="81" t="s">
        <v>34</v>
      </c>
      <c r="N90" s="81" t="s">
        <v>35</v>
      </c>
      <c r="O90" s="81" t="s">
        <v>36</v>
      </c>
      <c r="P90" s="81" t="s">
        <v>37</v>
      </c>
      <c r="Q90" s="81" t="s">
        <v>38</v>
      </c>
      <c r="R90" s="81" t="s">
        <v>39</v>
      </c>
      <c r="S90" s="81">
        <v>1.276</v>
      </c>
      <c r="T90" s="81">
        <v>9975.2199999999993</v>
      </c>
      <c r="U90" s="81">
        <v>9975.16</v>
      </c>
      <c r="V90" s="81" t="s">
        <v>66</v>
      </c>
      <c r="W90" s="81">
        <v>4000000</v>
      </c>
      <c r="X90" s="81">
        <v>0.19400000000000001</v>
      </c>
      <c r="Y90" s="81">
        <v>0.19389999999999999</v>
      </c>
      <c r="Z90" s="81" t="s">
        <v>558</v>
      </c>
    </row>
    <row r="91" spans="1:26">
      <c r="A91" s="81" t="s">
        <v>549</v>
      </c>
      <c r="B91" s="82">
        <v>43676</v>
      </c>
      <c r="C91" s="81" t="s">
        <v>6</v>
      </c>
      <c r="D91" s="82">
        <v>43767</v>
      </c>
      <c r="E91" s="81" t="s">
        <v>6</v>
      </c>
      <c r="F91" s="81" t="s">
        <v>568</v>
      </c>
      <c r="G91" s="83">
        <v>700000</v>
      </c>
      <c r="H91" s="83">
        <v>700000</v>
      </c>
      <c r="I91" s="81" t="s">
        <v>8</v>
      </c>
      <c r="J91" s="81">
        <v>12</v>
      </c>
      <c r="K91" s="81">
        <v>1.415</v>
      </c>
      <c r="L91" s="81" t="s">
        <v>34</v>
      </c>
      <c r="M91" s="81" t="s">
        <v>34</v>
      </c>
      <c r="N91" s="81" t="s">
        <v>35</v>
      </c>
      <c r="O91" s="81" t="s">
        <v>36</v>
      </c>
      <c r="P91" s="81" t="s">
        <v>37</v>
      </c>
      <c r="Q91" s="81" t="s">
        <v>38</v>
      </c>
      <c r="R91" s="81" t="s">
        <v>39</v>
      </c>
      <c r="S91" s="81">
        <v>1.276</v>
      </c>
      <c r="T91" s="81">
        <v>9977.66</v>
      </c>
      <c r="U91" s="81">
        <v>9977.6</v>
      </c>
      <c r="V91" s="81" t="s">
        <v>66</v>
      </c>
      <c r="W91" s="81">
        <v>4000000</v>
      </c>
      <c r="X91" s="81">
        <v>0.1749</v>
      </c>
      <c r="Y91" s="81">
        <v>0.17480000000000001</v>
      </c>
      <c r="Z91" s="81" t="s">
        <v>550</v>
      </c>
    </row>
    <row r="92" spans="1:26">
      <c r="A92" s="81" t="s">
        <v>544</v>
      </c>
      <c r="B92" s="82">
        <v>43669</v>
      </c>
      <c r="C92" s="81" t="s">
        <v>6</v>
      </c>
      <c r="D92" s="82">
        <v>43760</v>
      </c>
      <c r="E92" s="81" t="s">
        <v>6</v>
      </c>
      <c r="F92" s="81" t="s">
        <v>569</v>
      </c>
      <c r="G92" s="83">
        <v>800000</v>
      </c>
      <c r="H92" s="83">
        <v>800000</v>
      </c>
      <c r="I92" s="81" t="s">
        <v>8</v>
      </c>
      <c r="J92" s="81">
        <v>12</v>
      </c>
      <c r="K92" s="81">
        <v>1.4850000000000001</v>
      </c>
      <c r="L92" s="81" t="s">
        <v>34</v>
      </c>
      <c r="M92" s="81" t="s">
        <v>34</v>
      </c>
      <c r="N92" s="81" t="s">
        <v>35</v>
      </c>
      <c r="O92" s="81" t="s">
        <v>36</v>
      </c>
      <c r="P92" s="81" t="s">
        <v>37</v>
      </c>
      <c r="Q92" s="81" t="s">
        <v>38</v>
      </c>
      <c r="R92" s="81" t="s">
        <v>39</v>
      </c>
      <c r="S92" s="81">
        <v>1.276</v>
      </c>
      <c r="T92" s="81">
        <v>9980.1</v>
      </c>
      <c r="U92" s="81">
        <v>9980.0499999999993</v>
      </c>
      <c r="V92" s="81" t="s">
        <v>66</v>
      </c>
      <c r="W92" s="81">
        <v>4000000</v>
      </c>
      <c r="X92" s="81">
        <v>0.15579999999999999</v>
      </c>
      <c r="Y92" s="81">
        <v>0.15570000000000001</v>
      </c>
      <c r="Z92" s="81" t="s">
        <v>545</v>
      </c>
    </row>
    <row r="93" spans="1:26">
      <c r="A93" s="81" t="s">
        <v>481</v>
      </c>
      <c r="B93" s="82">
        <v>43571</v>
      </c>
      <c r="C93" s="81" t="s">
        <v>6</v>
      </c>
      <c r="D93" s="82">
        <v>43753</v>
      </c>
      <c r="E93" s="81" t="s">
        <v>6</v>
      </c>
      <c r="F93" s="81" t="s">
        <v>570</v>
      </c>
      <c r="G93" s="83">
        <v>300000</v>
      </c>
      <c r="H93" s="83">
        <v>300000</v>
      </c>
      <c r="I93" s="81" t="s">
        <v>8</v>
      </c>
      <c r="J93" s="81">
        <v>12</v>
      </c>
      <c r="K93" s="81">
        <v>1.764</v>
      </c>
      <c r="L93" s="81" t="s">
        <v>34</v>
      </c>
      <c r="M93" s="81" t="s">
        <v>34</v>
      </c>
      <c r="N93" s="81" t="s">
        <v>35</v>
      </c>
      <c r="O93" s="81" t="s">
        <v>36</v>
      </c>
      <c r="P93" s="81" t="s">
        <v>37</v>
      </c>
      <c r="Q93" s="81" t="s">
        <v>38</v>
      </c>
      <c r="R93" s="81" t="s">
        <v>39</v>
      </c>
      <c r="S93" s="81">
        <v>1.276</v>
      </c>
      <c r="T93" s="81">
        <v>9982.5300000000007</v>
      </c>
      <c r="U93" s="81">
        <v>9982.49</v>
      </c>
      <c r="V93" s="81" t="s">
        <v>66</v>
      </c>
      <c r="W93" s="81">
        <v>4000000</v>
      </c>
      <c r="X93" s="81">
        <v>0.13669999999999999</v>
      </c>
      <c r="Y93" s="81">
        <v>0.1366</v>
      </c>
      <c r="Z93" s="81" t="s">
        <v>482</v>
      </c>
    </row>
    <row r="94" spans="1:26">
      <c r="A94" s="81" t="s">
        <v>542</v>
      </c>
      <c r="B94" s="82">
        <v>43662</v>
      </c>
      <c r="C94" s="81" t="s">
        <v>6</v>
      </c>
      <c r="D94" s="82">
        <v>43753</v>
      </c>
      <c r="E94" s="81" t="s">
        <v>6</v>
      </c>
      <c r="F94" s="81" t="s">
        <v>570</v>
      </c>
      <c r="G94" s="83">
        <v>770000</v>
      </c>
      <c r="H94" s="83">
        <v>770000</v>
      </c>
      <c r="I94" s="81" t="s">
        <v>8</v>
      </c>
      <c r="J94" s="81">
        <v>12</v>
      </c>
      <c r="K94" s="81">
        <v>1.5149999999999999</v>
      </c>
      <c r="L94" s="81" t="s">
        <v>34</v>
      </c>
      <c r="M94" s="81" t="s">
        <v>34</v>
      </c>
      <c r="N94" s="81" t="s">
        <v>35</v>
      </c>
      <c r="O94" s="81" t="s">
        <v>36</v>
      </c>
      <c r="P94" s="81" t="s">
        <v>37</v>
      </c>
      <c r="Q94" s="81" t="s">
        <v>38</v>
      </c>
      <c r="R94" s="81" t="s">
        <v>39</v>
      </c>
      <c r="S94" s="81">
        <v>1.276</v>
      </c>
      <c r="T94" s="81">
        <v>9982.5300000000007</v>
      </c>
      <c r="U94" s="81">
        <v>9982.49</v>
      </c>
      <c r="V94" s="81" t="s">
        <v>66</v>
      </c>
      <c r="W94" s="81">
        <v>4000000</v>
      </c>
      <c r="X94" s="81">
        <v>0.13669999999999999</v>
      </c>
      <c r="Y94" s="81">
        <v>0.1366</v>
      </c>
      <c r="Z94" s="81" t="s">
        <v>543</v>
      </c>
    </row>
    <row r="95" spans="1:26">
      <c r="A95" s="81" t="s">
        <v>533</v>
      </c>
      <c r="B95" s="82">
        <v>43655</v>
      </c>
      <c r="C95" s="81" t="s">
        <v>6</v>
      </c>
      <c r="D95" s="82">
        <v>43746</v>
      </c>
      <c r="E95" s="81" t="s">
        <v>6</v>
      </c>
      <c r="F95" s="81" t="s">
        <v>571</v>
      </c>
      <c r="G95" s="83">
        <v>900000</v>
      </c>
      <c r="H95" s="83">
        <v>900000</v>
      </c>
      <c r="I95" s="81" t="s">
        <v>8</v>
      </c>
      <c r="J95" s="81">
        <v>12</v>
      </c>
      <c r="K95" s="81">
        <v>1.534</v>
      </c>
      <c r="L95" s="81" t="s">
        <v>34</v>
      </c>
      <c r="M95" s="81" t="s">
        <v>34</v>
      </c>
      <c r="N95" s="81" t="s">
        <v>35</v>
      </c>
      <c r="O95" s="81" t="s">
        <v>36</v>
      </c>
      <c r="P95" s="81" t="s">
        <v>37</v>
      </c>
      <c r="Q95" s="81" t="s">
        <v>38</v>
      </c>
      <c r="R95" s="81" t="s">
        <v>39</v>
      </c>
      <c r="S95" s="81">
        <v>1.276</v>
      </c>
      <c r="T95" s="81">
        <v>9984.98</v>
      </c>
      <c r="U95" s="81">
        <v>9984.94</v>
      </c>
      <c r="V95" s="81" t="s">
        <v>66</v>
      </c>
      <c r="W95" s="81">
        <v>4000000</v>
      </c>
      <c r="X95" s="81">
        <v>0.1176</v>
      </c>
      <c r="Y95" s="81">
        <v>0.1174</v>
      </c>
      <c r="Z95" s="81" t="s">
        <v>534</v>
      </c>
    </row>
    <row r="96" spans="1:26">
      <c r="A96" s="81" t="s">
        <v>330</v>
      </c>
      <c r="B96" s="82">
        <v>43010</v>
      </c>
      <c r="C96" s="81" t="s">
        <v>40</v>
      </c>
      <c r="D96" s="82">
        <v>43740</v>
      </c>
      <c r="E96" s="81" t="s">
        <v>5</v>
      </c>
      <c r="F96" s="81" t="s">
        <v>652</v>
      </c>
      <c r="G96" s="83">
        <v>11970000</v>
      </c>
      <c r="H96" s="83">
        <v>8310000</v>
      </c>
      <c r="I96" s="81" t="s">
        <v>33</v>
      </c>
      <c r="J96" s="81">
        <v>3</v>
      </c>
      <c r="K96" s="81">
        <v>1.85</v>
      </c>
      <c r="L96" s="81" t="s">
        <v>34</v>
      </c>
      <c r="M96" s="81" t="s">
        <v>34</v>
      </c>
      <c r="N96" s="81" t="s">
        <v>35</v>
      </c>
      <c r="O96" s="81" t="s">
        <v>36</v>
      </c>
      <c r="P96" s="81" t="s">
        <v>37</v>
      </c>
      <c r="Q96" s="81" t="s">
        <v>38</v>
      </c>
      <c r="R96" s="81" t="s">
        <v>39</v>
      </c>
      <c r="S96" s="81">
        <v>1.276</v>
      </c>
      <c r="T96" s="81">
        <v>10033.36</v>
      </c>
      <c r="U96" s="81">
        <v>10005.69</v>
      </c>
      <c r="V96" s="81" t="s">
        <v>66</v>
      </c>
      <c r="W96" s="81">
        <v>4000000</v>
      </c>
      <c r="X96" s="81">
        <v>0.1004</v>
      </c>
      <c r="Y96" s="81">
        <v>0.10100000000000001</v>
      </c>
      <c r="Z96" s="81" t="s">
        <v>323</v>
      </c>
    </row>
    <row r="97" spans="1:26">
      <c r="A97" s="81" t="s">
        <v>477</v>
      </c>
      <c r="B97" s="82">
        <v>43557</v>
      </c>
      <c r="C97" s="81" t="s">
        <v>6</v>
      </c>
      <c r="D97" s="82">
        <v>43739</v>
      </c>
      <c r="E97" s="81" t="s">
        <v>6</v>
      </c>
      <c r="F97" s="81" t="s">
        <v>572</v>
      </c>
      <c r="G97" s="83">
        <v>310000</v>
      </c>
      <c r="H97" s="83">
        <v>310000</v>
      </c>
      <c r="I97" s="81" t="s">
        <v>8</v>
      </c>
      <c r="J97" s="81">
        <v>12</v>
      </c>
      <c r="K97" s="81">
        <v>1.784</v>
      </c>
      <c r="L97" s="81" t="s">
        <v>34</v>
      </c>
      <c r="M97" s="81" t="s">
        <v>34</v>
      </c>
      <c r="N97" s="81" t="s">
        <v>35</v>
      </c>
      <c r="O97" s="81" t="s">
        <v>36</v>
      </c>
      <c r="P97" s="81" t="s">
        <v>37</v>
      </c>
      <c r="Q97" s="81" t="s">
        <v>38</v>
      </c>
      <c r="R97" s="81" t="s">
        <v>39</v>
      </c>
      <c r="S97" s="81">
        <v>1.276</v>
      </c>
      <c r="T97" s="81">
        <v>9987.42</v>
      </c>
      <c r="U97" s="81">
        <v>9987.39</v>
      </c>
      <c r="V97" s="81" t="s">
        <v>66</v>
      </c>
      <c r="W97" s="81">
        <v>4000000</v>
      </c>
      <c r="X97" s="81">
        <v>9.8500000000000004E-2</v>
      </c>
      <c r="Y97" s="81">
        <v>9.8299999999999998E-2</v>
      </c>
      <c r="Z97" s="81" t="s">
        <v>478</v>
      </c>
    </row>
    <row r="98" spans="1:26">
      <c r="A98" s="81" t="s">
        <v>527</v>
      </c>
      <c r="B98" s="82">
        <v>43648</v>
      </c>
      <c r="C98" s="81" t="s">
        <v>6</v>
      </c>
      <c r="D98" s="82">
        <v>43739</v>
      </c>
      <c r="E98" s="81" t="s">
        <v>6</v>
      </c>
      <c r="F98" s="81" t="s">
        <v>572</v>
      </c>
      <c r="G98" s="83">
        <v>900000</v>
      </c>
      <c r="H98" s="83">
        <v>900000</v>
      </c>
      <c r="I98" s="81" t="s">
        <v>8</v>
      </c>
      <c r="J98" s="81">
        <v>12</v>
      </c>
      <c r="K98" s="81">
        <v>1.5740000000000001</v>
      </c>
      <c r="L98" s="81" t="s">
        <v>34</v>
      </c>
      <c r="M98" s="81" t="s">
        <v>34</v>
      </c>
      <c r="N98" s="81" t="s">
        <v>35</v>
      </c>
      <c r="O98" s="81" t="s">
        <v>36</v>
      </c>
      <c r="P98" s="81" t="s">
        <v>37</v>
      </c>
      <c r="Q98" s="81" t="s">
        <v>38</v>
      </c>
      <c r="R98" s="81" t="s">
        <v>39</v>
      </c>
      <c r="S98" s="81">
        <v>1.276</v>
      </c>
      <c r="T98" s="81">
        <v>9987.42</v>
      </c>
      <c r="U98" s="81">
        <v>9987.39</v>
      </c>
      <c r="V98" s="81" t="s">
        <v>66</v>
      </c>
      <c r="W98" s="81">
        <v>4000000</v>
      </c>
      <c r="X98" s="81">
        <v>9.8500000000000004E-2</v>
      </c>
      <c r="Y98" s="81">
        <v>9.8299999999999998E-2</v>
      </c>
      <c r="Z98" s="81" t="s">
        <v>528</v>
      </c>
    </row>
    <row r="99" spans="1:26">
      <c r="A99" s="81" t="s">
        <v>519</v>
      </c>
      <c r="B99" s="82">
        <v>43641</v>
      </c>
      <c r="C99" s="81" t="s">
        <v>6</v>
      </c>
      <c r="D99" s="82">
        <v>43732</v>
      </c>
      <c r="E99" s="81" t="s">
        <v>6</v>
      </c>
      <c r="F99" s="81" t="s">
        <v>563</v>
      </c>
      <c r="G99" s="83">
        <v>600000</v>
      </c>
      <c r="H99" s="83">
        <v>600000</v>
      </c>
      <c r="I99" s="81" t="s">
        <v>8</v>
      </c>
      <c r="J99" s="81">
        <v>12</v>
      </c>
      <c r="K99" s="81">
        <v>1.5640000000000001</v>
      </c>
      <c r="L99" s="81" t="s">
        <v>34</v>
      </c>
      <c r="M99" s="81" t="s">
        <v>34</v>
      </c>
      <c r="N99" s="81" t="s">
        <v>35</v>
      </c>
      <c r="O99" s="81" t="s">
        <v>36</v>
      </c>
      <c r="P99" s="81" t="s">
        <v>37</v>
      </c>
      <c r="Q99" s="81" t="s">
        <v>38</v>
      </c>
      <c r="R99" s="81" t="s">
        <v>39</v>
      </c>
      <c r="S99" s="81">
        <v>1.276</v>
      </c>
      <c r="T99" s="81">
        <v>9989.86</v>
      </c>
      <c r="U99" s="81">
        <v>9989.84</v>
      </c>
      <c r="V99" s="81" t="s">
        <v>66</v>
      </c>
      <c r="W99" s="81">
        <v>4000000</v>
      </c>
      <c r="X99" s="81">
        <v>7.9299999999999995E-2</v>
      </c>
      <c r="Y99" s="81">
        <v>7.9200000000000007E-2</v>
      </c>
      <c r="Z99" s="81" t="s">
        <v>520</v>
      </c>
    </row>
    <row r="100" spans="1:26">
      <c r="A100" s="81" t="s">
        <v>471</v>
      </c>
      <c r="B100" s="82">
        <v>43543</v>
      </c>
      <c r="C100" s="81" t="s">
        <v>6</v>
      </c>
      <c r="D100" s="82">
        <v>43725</v>
      </c>
      <c r="E100" s="81" t="s">
        <v>6</v>
      </c>
      <c r="F100" s="81" t="s">
        <v>573</v>
      </c>
      <c r="G100" s="83">
        <v>250000</v>
      </c>
      <c r="H100" s="83">
        <v>250000</v>
      </c>
      <c r="I100" s="81" t="s">
        <v>8</v>
      </c>
      <c r="J100" s="81">
        <v>12</v>
      </c>
      <c r="K100" s="81">
        <v>1.794</v>
      </c>
      <c r="L100" s="81" t="s">
        <v>34</v>
      </c>
      <c r="M100" s="81" t="s">
        <v>34</v>
      </c>
      <c r="N100" s="81" t="s">
        <v>35</v>
      </c>
      <c r="O100" s="81" t="s">
        <v>36</v>
      </c>
      <c r="P100" s="81" t="s">
        <v>37</v>
      </c>
      <c r="Q100" s="81" t="s">
        <v>38</v>
      </c>
      <c r="R100" s="81" t="s">
        <v>39</v>
      </c>
      <c r="S100" s="81">
        <v>1.276</v>
      </c>
      <c r="T100" s="81">
        <v>9992.31</v>
      </c>
      <c r="U100" s="81">
        <v>9992.2900000000009</v>
      </c>
      <c r="V100" s="81" t="s">
        <v>66</v>
      </c>
      <c r="W100" s="81">
        <v>4000000</v>
      </c>
      <c r="X100" s="81">
        <v>6.0199999999999997E-2</v>
      </c>
      <c r="Y100" s="81">
        <v>6.0100000000000001E-2</v>
      </c>
      <c r="Z100" s="81" t="s">
        <v>472</v>
      </c>
    </row>
    <row r="101" spans="1:26">
      <c r="A101" s="81" t="s">
        <v>517</v>
      </c>
      <c r="B101" s="82">
        <v>43634</v>
      </c>
      <c r="C101" s="81" t="s">
        <v>6</v>
      </c>
      <c r="D101" s="82">
        <v>43725</v>
      </c>
      <c r="E101" s="81" t="s">
        <v>6</v>
      </c>
      <c r="F101" s="81" t="s">
        <v>573</v>
      </c>
      <c r="G101" s="83">
        <v>800000</v>
      </c>
      <c r="H101" s="83">
        <v>800000</v>
      </c>
      <c r="I101" s="81" t="s">
        <v>8</v>
      </c>
      <c r="J101" s="81">
        <v>12</v>
      </c>
      <c r="K101" s="81">
        <v>1.534</v>
      </c>
      <c r="L101" s="81" t="s">
        <v>34</v>
      </c>
      <c r="M101" s="81" t="s">
        <v>34</v>
      </c>
      <c r="N101" s="81" t="s">
        <v>35</v>
      </c>
      <c r="O101" s="81" t="s">
        <v>36</v>
      </c>
      <c r="P101" s="81" t="s">
        <v>37</v>
      </c>
      <c r="Q101" s="81" t="s">
        <v>38</v>
      </c>
      <c r="R101" s="81" t="s">
        <v>39</v>
      </c>
      <c r="S101" s="81">
        <v>1.276</v>
      </c>
      <c r="T101" s="81">
        <v>9992.31</v>
      </c>
      <c r="U101" s="81">
        <v>9992.2900000000009</v>
      </c>
      <c r="V101" s="81" t="s">
        <v>66</v>
      </c>
      <c r="W101" s="81">
        <v>4000000</v>
      </c>
      <c r="X101" s="81">
        <v>6.0199999999999997E-2</v>
      </c>
      <c r="Y101" s="81">
        <v>6.0100000000000001E-2</v>
      </c>
      <c r="Z101" s="81" t="s">
        <v>518</v>
      </c>
    </row>
    <row r="102" spans="1:26">
      <c r="A102" s="81" t="s">
        <v>509</v>
      </c>
      <c r="B102" s="82">
        <v>43627</v>
      </c>
      <c r="C102" s="81" t="s">
        <v>6</v>
      </c>
      <c r="D102" s="82">
        <v>43718</v>
      </c>
      <c r="E102" s="81" t="s">
        <v>6</v>
      </c>
      <c r="F102" s="81" t="s">
        <v>574</v>
      </c>
      <c r="G102" s="83">
        <v>800000</v>
      </c>
      <c r="H102" s="83">
        <v>800000</v>
      </c>
      <c r="I102" s="81" t="s">
        <v>8</v>
      </c>
      <c r="J102" s="81">
        <v>12</v>
      </c>
      <c r="K102" s="81">
        <v>1.5940000000000001</v>
      </c>
      <c r="L102" s="81" t="s">
        <v>34</v>
      </c>
      <c r="M102" s="81" t="s">
        <v>34</v>
      </c>
      <c r="N102" s="81" t="s">
        <v>35</v>
      </c>
      <c r="O102" s="81" t="s">
        <v>36</v>
      </c>
      <c r="P102" s="81" t="s">
        <v>37</v>
      </c>
      <c r="Q102" s="81" t="s">
        <v>38</v>
      </c>
      <c r="R102" s="81" t="s">
        <v>39</v>
      </c>
      <c r="S102" s="81">
        <v>1.276</v>
      </c>
      <c r="T102" s="81">
        <v>9994.75</v>
      </c>
      <c r="U102" s="81">
        <v>9994.74</v>
      </c>
      <c r="V102" s="81" t="s">
        <v>66</v>
      </c>
      <c r="W102" s="81">
        <v>4000000</v>
      </c>
      <c r="X102" s="81">
        <v>4.1000000000000002E-2</v>
      </c>
      <c r="Y102" s="81">
        <v>4.0899999999999999E-2</v>
      </c>
      <c r="Z102" s="81" t="s">
        <v>510</v>
      </c>
    </row>
    <row r="103" spans="1:26">
      <c r="A103" s="81" t="s">
        <v>397</v>
      </c>
      <c r="B103" s="82">
        <v>43352</v>
      </c>
      <c r="C103" s="81" t="s">
        <v>13</v>
      </c>
      <c r="D103" s="82">
        <v>43717</v>
      </c>
      <c r="E103" s="81" t="s">
        <v>40</v>
      </c>
      <c r="F103" s="81" t="s">
        <v>653</v>
      </c>
      <c r="G103" s="83">
        <v>6300000</v>
      </c>
      <c r="H103" s="83">
        <v>5720000</v>
      </c>
      <c r="I103" s="81" t="s">
        <v>33</v>
      </c>
      <c r="J103" s="81">
        <v>3</v>
      </c>
      <c r="K103" s="81">
        <v>1.8</v>
      </c>
      <c r="L103" s="81" t="s">
        <v>34</v>
      </c>
      <c r="M103" s="81" t="s">
        <v>34</v>
      </c>
      <c r="N103" s="81" t="s">
        <v>35</v>
      </c>
      <c r="O103" s="81" t="s">
        <v>36</v>
      </c>
      <c r="P103" s="81" t="s">
        <v>37</v>
      </c>
      <c r="Q103" s="81" t="s">
        <v>38</v>
      </c>
      <c r="R103" s="81" t="s">
        <v>39</v>
      </c>
      <c r="S103" s="81">
        <v>1.276</v>
      </c>
      <c r="T103" s="81">
        <v>10040.120000000001</v>
      </c>
      <c r="U103" s="81">
        <v>10001.959999999999</v>
      </c>
      <c r="V103" s="81" t="s">
        <v>66</v>
      </c>
      <c r="W103" s="81">
        <v>4000000</v>
      </c>
      <c r="X103" s="81">
        <v>3.7999999999999999E-2</v>
      </c>
      <c r="Y103" s="81">
        <v>3.8199999999999998E-2</v>
      </c>
      <c r="Z103" s="81" t="s">
        <v>398</v>
      </c>
    </row>
    <row r="104" spans="1:26">
      <c r="A104" s="81" t="s">
        <v>466</v>
      </c>
      <c r="B104" s="82">
        <v>43529</v>
      </c>
      <c r="C104" s="81" t="s">
        <v>6</v>
      </c>
      <c r="D104" s="82">
        <v>43711</v>
      </c>
      <c r="E104" s="81" t="s">
        <v>6</v>
      </c>
      <c r="F104" s="81" t="s">
        <v>575</v>
      </c>
      <c r="G104" s="83">
        <v>370000</v>
      </c>
      <c r="H104" s="83">
        <v>370000</v>
      </c>
      <c r="I104" s="81" t="s">
        <v>8</v>
      </c>
      <c r="J104" s="81">
        <v>12</v>
      </c>
      <c r="K104" s="81">
        <v>1.8029999999999999</v>
      </c>
      <c r="L104" s="81" t="s">
        <v>34</v>
      </c>
      <c r="M104" s="81" t="s">
        <v>34</v>
      </c>
      <c r="N104" s="81" t="s">
        <v>35</v>
      </c>
      <c r="O104" s="81" t="s">
        <v>36</v>
      </c>
      <c r="P104" s="81" t="s">
        <v>37</v>
      </c>
      <c r="Q104" s="81" t="s">
        <v>38</v>
      </c>
      <c r="R104" s="81" t="s">
        <v>39</v>
      </c>
      <c r="S104" s="81">
        <v>1.276</v>
      </c>
      <c r="T104" s="81">
        <v>9997.19</v>
      </c>
      <c r="U104" s="81">
        <v>9997.19</v>
      </c>
      <c r="V104" s="81" t="s">
        <v>66</v>
      </c>
      <c r="W104" s="81">
        <v>4000000</v>
      </c>
      <c r="X104" s="81">
        <v>2.1899999999999999E-2</v>
      </c>
      <c r="Y104" s="81">
        <v>2.18E-2</v>
      </c>
      <c r="Z104" s="81" t="s">
        <v>467</v>
      </c>
    </row>
    <row r="105" spans="1:26">
      <c r="A105" s="81" t="s">
        <v>499</v>
      </c>
      <c r="B105" s="82">
        <v>43620</v>
      </c>
      <c r="C105" s="81" t="s">
        <v>6</v>
      </c>
      <c r="D105" s="82">
        <v>43711</v>
      </c>
      <c r="E105" s="81" t="s">
        <v>6</v>
      </c>
      <c r="F105" s="81" t="s">
        <v>575</v>
      </c>
      <c r="G105" s="83">
        <v>800000</v>
      </c>
      <c r="H105" s="83">
        <v>800000</v>
      </c>
      <c r="I105" s="81" t="s">
        <v>8</v>
      </c>
      <c r="J105" s="81">
        <v>12</v>
      </c>
      <c r="K105" s="81">
        <v>1.6140000000000001</v>
      </c>
      <c r="L105" s="81" t="s">
        <v>34</v>
      </c>
      <c r="M105" s="81" t="s">
        <v>34</v>
      </c>
      <c r="N105" s="81" t="s">
        <v>35</v>
      </c>
      <c r="O105" s="81" t="s">
        <v>36</v>
      </c>
      <c r="P105" s="81" t="s">
        <v>37</v>
      </c>
      <c r="Q105" s="81" t="s">
        <v>38</v>
      </c>
      <c r="R105" s="81" t="s">
        <v>39</v>
      </c>
      <c r="S105" s="81">
        <v>1.276</v>
      </c>
      <c r="T105" s="81">
        <v>9997.19</v>
      </c>
      <c r="U105" s="81">
        <v>9997.19</v>
      </c>
      <c r="V105" s="81" t="s">
        <v>66</v>
      </c>
      <c r="W105" s="81">
        <v>4000000</v>
      </c>
      <c r="X105" s="81">
        <v>2.1899999999999999E-2</v>
      </c>
      <c r="Y105" s="81">
        <v>2.18E-2</v>
      </c>
      <c r="Z105" s="81" t="s">
        <v>500</v>
      </c>
    </row>
    <row r="106" spans="1:26">
      <c r="A106" s="81" t="s">
        <v>491</v>
      </c>
      <c r="B106" s="82">
        <v>43613</v>
      </c>
      <c r="C106" s="81" t="s">
        <v>6</v>
      </c>
      <c r="D106" s="82">
        <v>43704</v>
      </c>
      <c r="E106" s="81" t="s">
        <v>6</v>
      </c>
      <c r="F106" s="81" t="s">
        <v>548</v>
      </c>
      <c r="G106" s="83">
        <v>700000</v>
      </c>
      <c r="H106" s="83">
        <v>700000</v>
      </c>
      <c r="I106" s="81" t="s">
        <v>8</v>
      </c>
      <c r="J106" s="81">
        <v>12</v>
      </c>
      <c r="K106" s="81">
        <v>1.6639999999999999</v>
      </c>
      <c r="L106" s="81" t="s">
        <v>34</v>
      </c>
      <c r="M106" s="81" t="s">
        <v>34</v>
      </c>
      <c r="N106" s="81" t="s">
        <v>35</v>
      </c>
      <c r="O106" s="81" t="s">
        <v>36</v>
      </c>
      <c r="P106" s="81" t="s">
        <v>37</v>
      </c>
      <c r="Q106" s="81" t="s">
        <v>38</v>
      </c>
      <c r="R106" s="81" t="s">
        <v>39</v>
      </c>
      <c r="S106" s="81">
        <v>1.276</v>
      </c>
      <c r="T106" s="81">
        <v>9999.64</v>
      </c>
      <c r="U106" s="81">
        <v>9999.64</v>
      </c>
      <c r="V106" s="81" t="s">
        <v>66</v>
      </c>
      <c r="W106" s="81">
        <v>4000000</v>
      </c>
      <c r="X106" s="81">
        <v>2.7000000000000001E-3</v>
      </c>
      <c r="Y106" s="81">
        <v>2.7000000000000001E-3</v>
      </c>
      <c r="Z106" s="81" t="s">
        <v>492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A101"/>
  <sheetViews>
    <sheetView topLeftCell="M1" zoomScale="130" zoomScaleNormal="130" workbookViewId="0">
      <selection sqref="A1:IV65536"/>
    </sheetView>
  </sheetViews>
  <sheetFormatPr defaultRowHeight="13.5"/>
  <cols>
    <col min="1" max="16384" width="8.88671875" style="81"/>
  </cols>
  <sheetData>
    <row r="1" spans="1:22">
      <c r="A1" s="23" t="s">
        <v>163</v>
      </c>
      <c r="B1" s="92">
        <f ca="1">TODAY()</f>
        <v>43706</v>
      </c>
      <c r="C1" s="92">
        <v>43607</v>
      </c>
      <c r="D1" s="92">
        <v>43606</v>
      </c>
      <c r="E1" s="92">
        <v>43605</v>
      </c>
      <c r="F1" s="27">
        <v>43602</v>
      </c>
      <c r="G1" s="27">
        <v>43601</v>
      </c>
      <c r="H1" s="27">
        <v>43600</v>
      </c>
      <c r="I1" s="27">
        <v>43599</v>
      </c>
      <c r="J1" s="27">
        <v>43598</v>
      </c>
      <c r="K1" s="27">
        <v>43595</v>
      </c>
      <c r="L1" s="27">
        <v>43594</v>
      </c>
      <c r="M1" s="27">
        <v>43593</v>
      </c>
      <c r="N1" s="27">
        <v>43592</v>
      </c>
      <c r="O1" s="27">
        <v>43588</v>
      </c>
      <c r="P1" s="27">
        <v>43587</v>
      </c>
      <c r="Q1" s="27">
        <v>43585</v>
      </c>
      <c r="R1" s="27">
        <v>43584</v>
      </c>
      <c r="S1" s="27">
        <v>43581</v>
      </c>
      <c r="T1" s="27">
        <v>43580</v>
      </c>
      <c r="U1" s="27">
        <v>43579</v>
      </c>
      <c r="V1" s="27">
        <v>43578</v>
      </c>
    </row>
    <row r="2" spans="1:22">
      <c r="A2" s="24" t="s">
        <v>195</v>
      </c>
      <c r="B2" s="119" t="e">
        <f>#REF!+#REF!</f>
        <v>#REF!</v>
      </c>
      <c r="C2" s="119">
        <v>2.5000000000000133E-2</v>
      </c>
      <c r="D2" s="119">
        <v>2.3E-2</v>
      </c>
      <c r="E2" s="119">
        <v>2.0000000000000018E-2</v>
      </c>
      <c r="F2" s="119">
        <v>3.1000000000000139E-2</v>
      </c>
      <c r="G2" s="119">
        <v>2.1999999999999797E-2</v>
      </c>
      <c r="H2" s="119">
        <v>2.4999999999999911E-2</v>
      </c>
      <c r="I2" s="119">
        <v>2.4999999999999911E-2</v>
      </c>
      <c r="J2" s="119">
        <v>2.200000000000002E-2</v>
      </c>
      <c r="K2" s="119">
        <v>3.0000000000000027E-2</v>
      </c>
      <c r="L2" s="119">
        <v>2.5000000000000133E-2</v>
      </c>
      <c r="M2" s="119">
        <v>3.0000000000000027E-2</v>
      </c>
      <c r="N2" s="119">
        <v>2.3000000000000131E-2</v>
      </c>
      <c r="O2" s="119">
        <v>2.5000000000000133E-2</v>
      </c>
      <c r="P2" s="119">
        <v>3.0000000000000027E-2</v>
      </c>
      <c r="Q2" s="119">
        <v>1.8999999999999906E-2</v>
      </c>
      <c r="R2" s="119">
        <v>2.0000000000000018E-2</v>
      </c>
      <c r="S2" s="119">
        <v>2.6999999999999913E-2</v>
      </c>
      <c r="T2" s="119">
        <v>1.0000000000000009E-2</v>
      </c>
      <c r="U2" s="119">
        <v>5.0000000000001155E-3</v>
      </c>
      <c r="V2" s="119">
        <v>2.0000000000000018E-3</v>
      </c>
    </row>
    <row r="3" spans="1:22">
      <c r="A3" s="46" t="s">
        <v>164</v>
      </c>
      <c r="B3" s="119" t="e">
        <f>#REF!</f>
        <v>#REF!</v>
      </c>
      <c r="C3" s="119">
        <v>3.2000000000000028E-2</v>
      </c>
      <c r="D3" s="119">
        <v>0.03</v>
      </c>
      <c r="E3" s="119">
        <v>3.0000000000000027E-2</v>
      </c>
      <c r="F3" s="119">
        <v>3.6000000000000032E-2</v>
      </c>
      <c r="G3" s="119">
        <v>2.9999999999999805E-2</v>
      </c>
      <c r="H3" s="119">
        <v>3.8000000000000034E-2</v>
      </c>
      <c r="I3" s="119">
        <v>3.6999999999999922E-2</v>
      </c>
      <c r="J3" s="119">
        <v>3.499999999999992E-2</v>
      </c>
      <c r="K3" s="119">
        <v>4.0000000000000036E-2</v>
      </c>
      <c r="L3" s="119">
        <v>3.5000000000000142E-2</v>
      </c>
      <c r="M3" s="119">
        <v>4.0000000000000036E-2</v>
      </c>
      <c r="N3" s="119">
        <v>3.0000000000000027E-2</v>
      </c>
      <c r="O3" s="119">
        <v>2.7000000000000135E-2</v>
      </c>
      <c r="P3" s="119">
        <v>3.2000000000000028E-2</v>
      </c>
      <c r="Q3" s="119">
        <v>2.3999999999999799E-2</v>
      </c>
      <c r="R3" s="119">
        <v>2.4999999999999911E-2</v>
      </c>
      <c r="S3" s="119">
        <v>3.499999999999992E-2</v>
      </c>
      <c r="T3" s="119">
        <v>2.0000000000000018E-2</v>
      </c>
      <c r="U3" s="119">
        <v>1.6000000000000014E-2</v>
      </c>
      <c r="V3" s="119">
        <v>1.2000000000000011E-2</v>
      </c>
    </row>
    <row r="4" spans="1:22">
      <c r="A4" s="25" t="s">
        <v>165</v>
      </c>
      <c r="B4" s="119" t="e">
        <f>#REF!</f>
        <v>#REF!</v>
      </c>
      <c r="C4" s="119">
        <v>0.125</v>
      </c>
      <c r="D4" s="119">
        <v>0.122</v>
      </c>
      <c r="E4" s="119">
        <v>0.11999999999999988</v>
      </c>
      <c r="F4" s="119">
        <v>0.11099999999999999</v>
      </c>
      <c r="G4" s="119">
        <v>0.1100000000000001</v>
      </c>
      <c r="H4" s="119">
        <v>0.1100000000000001</v>
      </c>
      <c r="I4" s="119">
        <v>0.1100000000000001</v>
      </c>
      <c r="J4" s="119">
        <v>0.1100000000000001</v>
      </c>
      <c r="K4" s="119">
        <v>0.11499999999999999</v>
      </c>
      <c r="L4" s="119">
        <v>0.11999999999999988</v>
      </c>
      <c r="M4" s="119">
        <v>0.123</v>
      </c>
      <c r="N4" s="119">
        <v>0.125</v>
      </c>
      <c r="O4" s="119">
        <v>0.123</v>
      </c>
      <c r="P4" s="119">
        <v>0.11799999999999988</v>
      </c>
      <c r="Q4" s="119">
        <v>0.121</v>
      </c>
      <c r="R4" s="119">
        <v>0.123</v>
      </c>
      <c r="S4" s="119">
        <v>0.11699999999999999</v>
      </c>
      <c r="T4" s="119">
        <v>0.11699999999999999</v>
      </c>
      <c r="U4" s="119">
        <v>0.11499999999999999</v>
      </c>
      <c r="V4" s="119">
        <v>0.1180000000000001</v>
      </c>
    </row>
    <row r="5" spans="1:22">
      <c r="A5" s="25" t="s">
        <v>187</v>
      </c>
      <c r="B5" s="119" t="e">
        <f>#REF!</f>
        <v>#REF!</v>
      </c>
      <c r="C5" s="119">
        <v>4.6999999999999931E-2</v>
      </c>
      <c r="D5" s="119">
        <v>4.8000000000000001E-2</v>
      </c>
      <c r="E5" s="119">
        <v>3.7000000000000144E-2</v>
      </c>
      <c r="F5" s="119">
        <v>4.0000000000000036E-2</v>
      </c>
      <c r="G5" s="119">
        <v>4.4999999999999929E-2</v>
      </c>
      <c r="H5" s="119">
        <v>4.9999999999999822E-2</v>
      </c>
      <c r="I5" s="119">
        <v>4.6999999999999931E-2</v>
      </c>
      <c r="J5" s="119">
        <v>4.4999999999999929E-2</v>
      </c>
      <c r="K5" s="119">
        <v>3.6999999999999922E-2</v>
      </c>
      <c r="L5" s="119">
        <v>4.2999999999999927E-2</v>
      </c>
      <c r="M5" s="119">
        <v>4.2000000000000037E-2</v>
      </c>
      <c r="N5" s="119">
        <v>4.1999999999999815E-2</v>
      </c>
      <c r="O5" s="119">
        <v>3.499999999999992E-2</v>
      </c>
      <c r="P5" s="119">
        <v>3.2000000000000028E-2</v>
      </c>
      <c r="Q5" s="119">
        <v>3.0000000000000027E-2</v>
      </c>
      <c r="R5" s="119">
        <v>3.2000000000000028E-2</v>
      </c>
      <c r="S5" s="119">
        <v>3.499999999999992E-2</v>
      </c>
      <c r="T5" s="119">
        <v>4.7999999999999821E-2</v>
      </c>
      <c r="U5" s="119">
        <v>4.2000000000000037E-2</v>
      </c>
      <c r="V5" s="119">
        <v>4.4999999999999929E-2</v>
      </c>
    </row>
    <row r="6" spans="1:22">
      <c r="A6" s="25" t="s">
        <v>188</v>
      </c>
      <c r="B6" s="119" t="e">
        <f>#REF!</f>
        <v>#REF!</v>
      </c>
      <c r="C6" s="119">
        <v>0.17199999999999993</v>
      </c>
      <c r="D6" s="119">
        <v>0.17</v>
      </c>
      <c r="E6" s="119">
        <v>0.15700000000000003</v>
      </c>
      <c r="F6" s="119">
        <v>0.15100000000000002</v>
      </c>
      <c r="G6" s="119">
        <v>0.15500000000000003</v>
      </c>
      <c r="H6" s="119">
        <v>0.15999999999999992</v>
      </c>
      <c r="I6" s="119">
        <v>0.15700000000000003</v>
      </c>
      <c r="J6" s="119">
        <v>0.15500000000000003</v>
      </c>
      <c r="K6" s="119">
        <v>0.15199999999999991</v>
      </c>
      <c r="L6" s="119">
        <v>0.16299999999999981</v>
      </c>
      <c r="M6" s="119">
        <v>0.16500000000000004</v>
      </c>
      <c r="N6" s="119">
        <v>0.16699999999999982</v>
      </c>
      <c r="O6" s="119">
        <v>0.15799999999999992</v>
      </c>
      <c r="P6" s="119">
        <v>0.14999999999999991</v>
      </c>
      <c r="Q6" s="119">
        <v>0.15100000000000002</v>
      </c>
      <c r="R6" s="119">
        <v>0.15500000000000003</v>
      </c>
      <c r="S6" s="119">
        <v>0.15199999999999991</v>
      </c>
      <c r="T6" s="119">
        <v>0.16499999999999981</v>
      </c>
      <c r="U6" s="119">
        <v>0.15700000000000003</v>
      </c>
      <c r="V6" s="119">
        <v>0.16300000000000003</v>
      </c>
    </row>
    <row r="7" spans="1:22">
      <c r="A7" s="43" t="s">
        <v>189</v>
      </c>
      <c r="B7" s="119" t="e">
        <f>#REF!</f>
        <v>#REF!</v>
      </c>
      <c r="C7" s="119">
        <v>0.13500000000000001</v>
      </c>
      <c r="D7" s="119">
        <v>0.14000000000000001</v>
      </c>
      <c r="E7" s="119">
        <v>0.125</v>
      </c>
      <c r="F7" s="119">
        <v>0.12399999999999989</v>
      </c>
      <c r="G7" s="119">
        <v>0.13500000000000001</v>
      </c>
      <c r="H7" s="119">
        <v>0.1399999999999999</v>
      </c>
      <c r="I7" s="119">
        <v>0.1399999999999999</v>
      </c>
      <c r="J7" s="119">
        <v>0.13500000000000001</v>
      </c>
      <c r="K7" s="119">
        <v>0.12999999999999989</v>
      </c>
      <c r="L7" s="119">
        <v>0.1379999999999999</v>
      </c>
      <c r="M7" s="119">
        <v>0.1399999999999999</v>
      </c>
      <c r="N7" s="119">
        <v>0.14399999999999991</v>
      </c>
      <c r="O7" s="119">
        <v>0.12999999999999989</v>
      </c>
      <c r="P7" s="119">
        <v>0.11999999999999988</v>
      </c>
      <c r="Q7" s="119">
        <v>0.13000000000000012</v>
      </c>
      <c r="R7" s="119">
        <v>0.13500000000000001</v>
      </c>
      <c r="S7" s="119">
        <v>0.1319999999999999</v>
      </c>
      <c r="T7" s="119">
        <v>0.14999999999999991</v>
      </c>
      <c r="U7" s="119">
        <v>0.14700000000000002</v>
      </c>
      <c r="V7" s="119">
        <v>0.15400000000000014</v>
      </c>
    </row>
    <row r="8" spans="1:22">
      <c r="A8" s="25" t="s">
        <v>190</v>
      </c>
      <c r="B8" s="119" t="e">
        <f>#REF!</f>
        <v>#REF!</v>
      </c>
      <c r="C8" s="119">
        <v>-3.6999999999999922E-2</v>
      </c>
      <c r="D8" s="119">
        <v>-0.03</v>
      </c>
      <c r="E8" s="119">
        <v>-3.2000000000000028E-2</v>
      </c>
      <c r="F8" s="119">
        <v>-2.7000000000000135E-2</v>
      </c>
      <c r="G8" s="119">
        <v>-2.0000000000000018E-2</v>
      </c>
      <c r="H8" s="119">
        <v>-2.0000000000000018E-2</v>
      </c>
      <c r="I8" s="119">
        <v>-1.7000000000000126E-2</v>
      </c>
      <c r="J8" s="119">
        <v>-2.0000000000000018E-2</v>
      </c>
      <c r="K8" s="119">
        <v>-2.200000000000002E-2</v>
      </c>
      <c r="L8" s="119">
        <v>-2.4999999999999911E-2</v>
      </c>
      <c r="M8" s="119">
        <v>-2.5000000000000133E-2</v>
      </c>
      <c r="N8" s="119">
        <v>-2.2999999999999909E-2</v>
      </c>
      <c r="O8" s="119">
        <v>-2.8000000000000025E-2</v>
      </c>
      <c r="P8" s="119">
        <v>-3.0000000000000027E-2</v>
      </c>
      <c r="Q8" s="119">
        <v>-2.0999999999999908E-2</v>
      </c>
      <c r="R8" s="119">
        <v>-2.0000000000000018E-2</v>
      </c>
      <c r="S8" s="119">
        <v>-2.0000000000000018E-2</v>
      </c>
      <c r="T8" s="119">
        <v>-1.4999999999999902E-2</v>
      </c>
      <c r="U8" s="119">
        <v>-1.0000000000000009E-2</v>
      </c>
      <c r="V8" s="119">
        <v>-8.999999999999897E-3</v>
      </c>
    </row>
    <row r="9" spans="1:22">
      <c r="A9" s="25" t="s">
        <v>312</v>
      </c>
      <c r="B9" s="120" t="e">
        <f>#REF!</f>
        <v>#REF!</v>
      </c>
      <c r="C9" s="120">
        <v>2.0000000000000018E-2</v>
      </c>
      <c r="D9" s="120">
        <v>2.5000000000000001E-2</v>
      </c>
      <c r="E9" s="120">
        <v>1.8000000000000016E-2</v>
      </c>
      <c r="F9" s="120">
        <v>1.2000000000000011E-2</v>
      </c>
      <c r="G9" s="120">
        <v>2.4000000000000021E-2</v>
      </c>
      <c r="H9" s="120">
        <v>2.4000000000000021E-2</v>
      </c>
      <c r="I9" s="120">
        <v>2.4000000000000021E-2</v>
      </c>
      <c r="J9" s="120">
        <v>2.6999999999999913E-2</v>
      </c>
      <c r="K9" s="120">
        <v>7.0000000000001172E-3</v>
      </c>
      <c r="L9" s="120">
        <v>1.2999999999999901E-2</v>
      </c>
      <c r="M9" s="120">
        <v>1.6000000000000014E-2</v>
      </c>
      <c r="N9" s="120">
        <v>2.2999999999999909E-2</v>
      </c>
      <c r="O9" s="120">
        <v>2.0999999999999908E-2</v>
      </c>
      <c r="P9" s="120">
        <v>-6.0000000000000053E-3</v>
      </c>
      <c r="Q9" s="120">
        <v>-1.1000000000000121E-2</v>
      </c>
      <c r="R9" s="120">
        <v>-1.4999999999999902E-2</v>
      </c>
      <c r="S9" s="120">
        <v>-1.2999999999999901E-2</v>
      </c>
      <c r="T9" s="120">
        <v>-6.9999999999998952E-3</v>
      </c>
      <c r="U9" s="120">
        <v>2.9999999999998916E-3</v>
      </c>
      <c r="V9" s="120">
        <v>6.9999999999998952E-3</v>
      </c>
    </row>
    <row r="10" spans="1:22">
      <c r="A10" s="126" t="s">
        <v>313</v>
      </c>
      <c r="B10" s="121" t="e">
        <f>#REF!</f>
        <v>#REF!</v>
      </c>
      <c r="C10" s="121">
        <v>7.4999999999999956E-2</v>
      </c>
      <c r="D10" s="121">
        <v>7.4999999999999997E-2</v>
      </c>
      <c r="E10" s="121">
        <v>7.4999999999999956E-2</v>
      </c>
      <c r="F10" s="121">
        <v>7.4999999999999956E-2</v>
      </c>
      <c r="G10" s="121">
        <v>7.4999999999999956E-2</v>
      </c>
      <c r="H10" s="121">
        <v>7.3000000000000176E-2</v>
      </c>
      <c r="I10" s="121">
        <v>7.5000000000000178E-2</v>
      </c>
      <c r="J10" s="121">
        <v>7.5000000000000178E-2</v>
      </c>
      <c r="K10" s="121">
        <v>7.8000000000000069E-2</v>
      </c>
      <c r="L10" s="121">
        <v>7.6000000000000068E-2</v>
      </c>
      <c r="M10" s="121">
        <v>7.8000000000000069E-2</v>
      </c>
      <c r="N10" s="121">
        <v>7.8000000000000069E-2</v>
      </c>
      <c r="O10" s="121">
        <v>7.9000000000000181E-2</v>
      </c>
      <c r="P10" s="121">
        <v>7.7999999999999847E-2</v>
      </c>
      <c r="Q10" s="121">
        <v>7.5999999999999845E-2</v>
      </c>
      <c r="R10" s="121">
        <v>7.4999999999999956E-2</v>
      </c>
      <c r="S10" s="121">
        <v>7.2000000000000064E-2</v>
      </c>
      <c r="T10" s="121">
        <v>7.2000000000000064E-2</v>
      </c>
      <c r="U10" s="121">
        <v>7.2999999999999954E-2</v>
      </c>
      <c r="V10" s="121">
        <v>7.2999999999999954E-2</v>
      </c>
    </row>
    <row r="11" spans="1:22">
      <c r="A11" s="39" t="s">
        <v>314</v>
      </c>
      <c r="B11" s="134" t="e">
        <f>시평!#REF!-시평!#REF!</f>
        <v>#REF!</v>
      </c>
      <c r="C11" s="134">
        <v>0.10899999999999999</v>
      </c>
      <c r="D11" s="134">
        <v>0.108</v>
      </c>
      <c r="E11" s="134">
        <v>0.10699999999999998</v>
      </c>
      <c r="F11" s="134">
        <v>0.10499999999999998</v>
      </c>
      <c r="G11" s="134">
        <v>0.10200000000000009</v>
      </c>
      <c r="H11" s="134">
        <v>0.10000000000000009</v>
      </c>
      <c r="I11" s="134">
        <v>9.5999999999999863E-2</v>
      </c>
      <c r="J11" s="134">
        <v>9.6999999999999975E-2</v>
      </c>
      <c r="K11" s="134">
        <v>9.4000000000000083E-2</v>
      </c>
      <c r="L11" s="134">
        <v>9.099999999999997E-2</v>
      </c>
      <c r="M11" s="134">
        <v>9.2999999999999972E-2</v>
      </c>
      <c r="N11" s="134">
        <v>9.3999999999999861E-2</v>
      </c>
      <c r="O11" s="134">
        <v>9.099999999999997E-2</v>
      </c>
      <c r="P11" s="134">
        <v>9.099999999999997E-2</v>
      </c>
      <c r="Q11" s="134">
        <v>8.5999999999999854E-2</v>
      </c>
      <c r="R11" s="134">
        <v>8.3000000000000185E-2</v>
      </c>
      <c r="S11" s="134">
        <v>8.0999999999999961E-2</v>
      </c>
      <c r="T11" s="134">
        <v>8.1000000000000183E-2</v>
      </c>
      <c r="U11" s="134">
        <v>8.0999999999999961E-2</v>
      </c>
      <c r="V11" s="134">
        <v>7.8999999999999959E-2</v>
      </c>
    </row>
    <row r="12" spans="1:22">
      <c r="A12" s="37" t="s">
        <v>178</v>
      </c>
      <c r="B12" s="120" t="e">
        <f>시평!#REF!-시평!#REF!</f>
        <v>#REF!</v>
      </c>
      <c r="C12" s="120">
        <v>0.14799999999999991</v>
      </c>
      <c r="D12" s="120">
        <v>0.14799999999999999</v>
      </c>
      <c r="E12" s="120">
        <v>0.14800000000000013</v>
      </c>
      <c r="F12" s="120">
        <v>0.14700000000000002</v>
      </c>
      <c r="G12" s="120">
        <v>0.14599999999999991</v>
      </c>
      <c r="H12" s="120">
        <v>0.14700000000000002</v>
      </c>
      <c r="I12" s="120">
        <v>0.14700000000000002</v>
      </c>
      <c r="J12" s="120">
        <v>0.14800000000000013</v>
      </c>
      <c r="K12" s="120">
        <v>0.14799999999999991</v>
      </c>
      <c r="L12" s="120">
        <v>0.14799999999999991</v>
      </c>
      <c r="M12" s="120">
        <v>0.14800000000000013</v>
      </c>
      <c r="N12" s="120">
        <v>0.14799999999999991</v>
      </c>
      <c r="O12" s="120">
        <v>0.14799999999999991</v>
      </c>
      <c r="P12" s="120">
        <v>0.15100000000000002</v>
      </c>
      <c r="Q12" s="120">
        <v>0.14900000000000002</v>
      </c>
      <c r="R12" s="120">
        <v>0.14900000000000002</v>
      </c>
      <c r="S12" s="120">
        <v>0.14900000000000002</v>
      </c>
      <c r="T12" s="120">
        <v>0.1489999999999998</v>
      </c>
      <c r="U12" s="120">
        <v>0.14900000000000002</v>
      </c>
      <c r="V12" s="120">
        <v>0.15199999999999991</v>
      </c>
    </row>
    <row r="13" spans="1:22">
      <c r="A13" s="37" t="s">
        <v>177</v>
      </c>
      <c r="B13" s="120" t="e">
        <f>시평!#REF!-시평!#REF!</f>
        <v>#REF!</v>
      </c>
      <c r="C13" s="120">
        <v>0.16900000000000004</v>
      </c>
      <c r="D13" s="120">
        <v>0.16900000000000001</v>
      </c>
      <c r="E13" s="120">
        <v>0.16900000000000004</v>
      </c>
      <c r="F13" s="120">
        <v>0.16799999999999993</v>
      </c>
      <c r="G13" s="120">
        <v>0.16799999999999993</v>
      </c>
      <c r="H13" s="120">
        <v>0.16700000000000004</v>
      </c>
      <c r="I13" s="120">
        <v>0.16700000000000004</v>
      </c>
      <c r="J13" s="120">
        <v>0.16700000000000004</v>
      </c>
      <c r="K13" s="120">
        <v>0.16799999999999993</v>
      </c>
      <c r="L13" s="120">
        <v>0.16900000000000004</v>
      </c>
      <c r="M13" s="120">
        <v>0.16799999999999993</v>
      </c>
      <c r="N13" s="120">
        <v>0.16800000000000015</v>
      </c>
      <c r="O13" s="120">
        <v>0.16800000000000015</v>
      </c>
      <c r="P13" s="120">
        <v>0.17099999999999982</v>
      </c>
      <c r="Q13" s="120">
        <v>0.17099999999999982</v>
      </c>
      <c r="R13" s="120">
        <v>0.17100000000000004</v>
      </c>
      <c r="S13" s="120">
        <v>0.17100000000000004</v>
      </c>
      <c r="T13" s="120">
        <v>0.17100000000000004</v>
      </c>
      <c r="U13" s="120">
        <v>0.17100000000000004</v>
      </c>
      <c r="V13" s="120">
        <v>0.17100000000000004</v>
      </c>
    </row>
    <row r="14" spans="1:22">
      <c r="A14" s="37" t="s">
        <v>179</v>
      </c>
      <c r="B14" s="120" t="e">
        <f>시평!#REF!-시평!#REF!</f>
        <v>#REF!</v>
      </c>
      <c r="C14" s="120">
        <v>0.1339999999999999</v>
      </c>
      <c r="D14" s="120">
        <v>0.13500000000000001</v>
      </c>
      <c r="E14" s="120">
        <v>0.13500000000000001</v>
      </c>
      <c r="F14" s="120">
        <v>0.13500000000000001</v>
      </c>
      <c r="G14" s="120">
        <v>0.13500000000000001</v>
      </c>
      <c r="H14" s="120">
        <v>0.1359999999999999</v>
      </c>
      <c r="I14" s="120">
        <v>0.13700000000000001</v>
      </c>
      <c r="J14" s="120">
        <v>0.13700000000000001</v>
      </c>
      <c r="K14" s="120">
        <v>0.13700000000000001</v>
      </c>
      <c r="L14" s="120">
        <v>0.13700000000000001</v>
      </c>
      <c r="M14" s="120">
        <v>0.13700000000000001</v>
      </c>
      <c r="N14" s="120">
        <v>0.13700000000000001</v>
      </c>
      <c r="O14" s="120">
        <v>0.13700000000000001</v>
      </c>
      <c r="P14" s="120">
        <v>0.13900000000000001</v>
      </c>
      <c r="Q14" s="120">
        <v>0.13900000000000001</v>
      </c>
      <c r="R14" s="120">
        <v>0.13900000000000001</v>
      </c>
      <c r="S14" s="120">
        <v>0.13900000000000001</v>
      </c>
      <c r="T14" s="120">
        <v>0.1379999999999999</v>
      </c>
      <c r="U14" s="120">
        <v>0.13900000000000001</v>
      </c>
      <c r="V14" s="120">
        <v>0.1399999999999999</v>
      </c>
    </row>
    <row r="15" spans="1:22">
      <c r="A15" s="37" t="s">
        <v>180</v>
      </c>
      <c r="B15" s="120" t="e">
        <f>시평!#REF!-시평!#REF!</f>
        <v>#REF!</v>
      </c>
      <c r="C15" s="120">
        <v>0.1160000000000001</v>
      </c>
      <c r="D15" s="120">
        <v>0.11700000000000001</v>
      </c>
      <c r="E15" s="120">
        <v>0.11699999999999999</v>
      </c>
      <c r="F15" s="120">
        <v>0.11699999999999999</v>
      </c>
      <c r="G15" s="120">
        <v>0.11699999999999999</v>
      </c>
      <c r="H15" s="120">
        <v>0.1160000000000001</v>
      </c>
      <c r="I15" s="120">
        <v>0.1160000000000001</v>
      </c>
      <c r="J15" s="120">
        <v>0.1160000000000001</v>
      </c>
      <c r="K15" s="120">
        <v>0.11699999999999999</v>
      </c>
      <c r="L15" s="120">
        <v>0.11799999999999988</v>
      </c>
      <c r="M15" s="120">
        <v>0.11699999999999999</v>
      </c>
      <c r="N15" s="120">
        <v>0.11699999999999999</v>
      </c>
      <c r="O15" s="120">
        <v>0.11699999999999999</v>
      </c>
      <c r="P15" s="120">
        <v>0.11899999999999999</v>
      </c>
      <c r="Q15" s="120">
        <v>0.11899999999999999</v>
      </c>
      <c r="R15" s="120">
        <v>0.11899999999999999</v>
      </c>
      <c r="S15" s="120">
        <v>0.11899999999999999</v>
      </c>
      <c r="T15" s="120">
        <v>0.11899999999999999</v>
      </c>
      <c r="U15" s="120">
        <v>0.11899999999999999</v>
      </c>
      <c r="V15" s="120">
        <v>0.11899999999999999</v>
      </c>
    </row>
    <row r="16" spans="1:22">
      <c r="A16" s="37" t="s">
        <v>181</v>
      </c>
      <c r="B16" s="120" t="e">
        <f>시평!#REF!-시평!#REF!</f>
        <v>#REF!</v>
      </c>
      <c r="C16" s="120">
        <v>9.4000000000000083E-2</v>
      </c>
      <c r="D16" s="120">
        <v>9.6000000000000002E-2</v>
      </c>
      <c r="E16" s="120">
        <v>9.6000000000000085E-2</v>
      </c>
      <c r="F16" s="120">
        <v>9.6000000000000085E-2</v>
      </c>
      <c r="G16" s="120">
        <v>9.5999999999999863E-2</v>
      </c>
      <c r="H16" s="120">
        <v>9.6000000000000085E-2</v>
      </c>
      <c r="I16" s="120">
        <v>9.6000000000000085E-2</v>
      </c>
      <c r="J16" s="120">
        <v>9.6000000000000085E-2</v>
      </c>
      <c r="K16" s="120">
        <v>9.6000000000000085E-2</v>
      </c>
      <c r="L16" s="120">
        <v>9.6000000000000085E-2</v>
      </c>
      <c r="M16" s="120">
        <v>9.6000000000000085E-2</v>
      </c>
      <c r="N16" s="120">
        <v>9.6000000000000085E-2</v>
      </c>
      <c r="O16" s="120">
        <v>9.6000000000000085E-2</v>
      </c>
      <c r="P16" s="120">
        <v>9.6999999999999975E-2</v>
      </c>
      <c r="Q16" s="120">
        <v>9.6999999999999975E-2</v>
      </c>
      <c r="R16" s="120">
        <v>9.8000000000000087E-2</v>
      </c>
      <c r="S16" s="120">
        <v>9.8999999999999977E-2</v>
      </c>
      <c r="T16" s="120">
        <v>9.9000000000000199E-2</v>
      </c>
      <c r="U16" s="120">
        <v>9.8999999999999977E-2</v>
      </c>
      <c r="V16" s="120">
        <v>9.8999999999999755E-2</v>
      </c>
    </row>
    <row r="17" spans="1:22">
      <c r="A17" s="37" t="s">
        <v>182</v>
      </c>
      <c r="B17" s="120" t="e">
        <f>시평!#REF!-시평!#REF!</f>
        <v>#REF!</v>
      </c>
      <c r="C17" s="120">
        <v>0.29699999999999993</v>
      </c>
      <c r="D17" s="120">
        <v>0.29699999999999999</v>
      </c>
      <c r="E17" s="120">
        <v>0.29700000000000015</v>
      </c>
      <c r="F17" s="120">
        <v>0.29600000000000004</v>
      </c>
      <c r="G17" s="120">
        <v>0.29599999999999982</v>
      </c>
      <c r="H17" s="120">
        <v>0.29799999999999982</v>
      </c>
      <c r="I17" s="120">
        <v>0.29699999999999993</v>
      </c>
      <c r="J17" s="120">
        <v>0.30199999999999982</v>
      </c>
      <c r="K17" s="120">
        <v>0.30200000000000005</v>
      </c>
      <c r="L17" s="120">
        <v>0.30200000000000005</v>
      </c>
      <c r="M17" s="120">
        <v>0.30199999999999982</v>
      </c>
      <c r="N17" s="120">
        <v>0.30299999999999971</v>
      </c>
      <c r="O17" s="120">
        <v>0.30499999999999994</v>
      </c>
      <c r="P17" s="120">
        <v>0.30400000000000005</v>
      </c>
      <c r="Q17" s="120">
        <v>0.30699999999999972</v>
      </c>
      <c r="R17" s="120">
        <v>0.30999999999999983</v>
      </c>
      <c r="S17" s="120">
        <v>0.30699999999999994</v>
      </c>
      <c r="T17" s="120">
        <v>0.30699999999999972</v>
      </c>
      <c r="U17" s="120">
        <v>0.30899999999999994</v>
      </c>
      <c r="V17" s="120">
        <v>0.30899999999999994</v>
      </c>
    </row>
    <row r="18" spans="1:22">
      <c r="A18" s="37" t="s">
        <v>183</v>
      </c>
      <c r="B18" s="120" t="e">
        <f>시평!#REF!-시평!#REF!</f>
        <v>#REF!</v>
      </c>
      <c r="C18" s="120">
        <v>0.43900000000000006</v>
      </c>
      <c r="D18" s="120">
        <v>0.443</v>
      </c>
      <c r="E18" s="120">
        <v>0.44399999999999995</v>
      </c>
      <c r="F18" s="120">
        <v>0.44300000000000006</v>
      </c>
      <c r="G18" s="120">
        <v>0.44399999999999995</v>
      </c>
      <c r="H18" s="120">
        <v>0.44800000000000018</v>
      </c>
      <c r="I18" s="120">
        <v>0.44900000000000029</v>
      </c>
      <c r="J18" s="120">
        <v>0.44900000000000007</v>
      </c>
      <c r="K18" s="120">
        <v>0.45000000000000018</v>
      </c>
      <c r="L18" s="120">
        <v>0.45399999999999996</v>
      </c>
      <c r="M18" s="120">
        <v>0.45800000000000018</v>
      </c>
      <c r="N18" s="120">
        <v>0.4590000000000003</v>
      </c>
      <c r="O18" s="120">
        <v>0.45900000000000007</v>
      </c>
      <c r="P18" s="120">
        <v>0.45899999999999985</v>
      </c>
      <c r="Q18" s="120">
        <v>0.46099999999999985</v>
      </c>
      <c r="R18" s="120">
        <v>0.46500000000000008</v>
      </c>
      <c r="S18" s="120">
        <v>0.46400000000000019</v>
      </c>
      <c r="T18" s="120">
        <v>0.46300000000000008</v>
      </c>
      <c r="U18" s="120">
        <v>0.46399999999999997</v>
      </c>
      <c r="V18" s="120">
        <v>0.46500000000000008</v>
      </c>
    </row>
    <row r="19" spans="1:22">
      <c r="A19" s="37" t="s">
        <v>186</v>
      </c>
      <c r="B19" s="120" t="e">
        <f>시평!#REF!-시평!#REF!</f>
        <v>#REF!</v>
      </c>
      <c r="C19" s="120">
        <v>0.23899999999999988</v>
      </c>
      <c r="D19" s="120">
        <v>0.23100000000000001</v>
      </c>
      <c r="E19" s="120">
        <v>0.23199999999999998</v>
      </c>
      <c r="F19" s="120">
        <v>0.22700000000000009</v>
      </c>
      <c r="G19" s="120">
        <v>0.21499999999999986</v>
      </c>
      <c r="H19" s="120">
        <v>0.21299999999999986</v>
      </c>
      <c r="I19" s="120">
        <v>0.20799999999999996</v>
      </c>
      <c r="J19" s="120">
        <v>0.20799999999999996</v>
      </c>
      <c r="K19" s="120">
        <v>0.21299999999999986</v>
      </c>
      <c r="L19" s="120">
        <v>0.20999999999999996</v>
      </c>
      <c r="M19" s="120">
        <v>0.20900000000000007</v>
      </c>
      <c r="N19" s="120">
        <v>0.20599999999999996</v>
      </c>
      <c r="O19" s="120">
        <v>0.20999999999999996</v>
      </c>
      <c r="P19" s="120">
        <v>0.21399999999999997</v>
      </c>
      <c r="Q19" s="120">
        <v>0.20499999999999985</v>
      </c>
      <c r="R19" s="120">
        <v>0.20199999999999996</v>
      </c>
      <c r="S19" s="120">
        <v>0.20299999999999985</v>
      </c>
      <c r="T19" s="120">
        <v>0.19699999999999984</v>
      </c>
      <c r="U19" s="120">
        <v>0.19200000000000017</v>
      </c>
      <c r="V19" s="120">
        <v>0.18999999999999995</v>
      </c>
    </row>
    <row r="20" spans="1:22">
      <c r="A20" s="37" t="s">
        <v>185</v>
      </c>
      <c r="B20" s="120" t="e">
        <f>시평!#REF!-시평!#REF!</f>
        <v>#REF!</v>
      </c>
      <c r="C20" s="120">
        <v>0.25</v>
      </c>
      <c r="D20" s="120">
        <v>0.247</v>
      </c>
      <c r="E20" s="120">
        <v>0.246</v>
      </c>
      <c r="F20" s="120">
        <v>0.2430000000000001</v>
      </c>
      <c r="G20" s="120">
        <v>0.23499999999999988</v>
      </c>
      <c r="H20" s="120">
        <v>0.23599999999999999</v>
      </c>
      <c r="I20" s="120">
        <v>0.2330000000000001</v>
      </c>
      <c r="J20" s="120">
        <v>0.2330000000000001</v>
      </c>
      <c r="K20" s="120">
        <v>0.22999999999999998</v>
      </c>
      <c r="L20" s="120">
        <v>0.22599999999999998</v>
      </c>
      <c r="M20" s="120">
        <v>0.22599999999999998</v>
      </c>
      <c r="N20" s="120">
        <v>0.22599999999999998</v>
      </c>
      <c r="O20" s="120">
        <v>0.22599999999999998</v>
      </c>
      <c r="P20" s="120">
        <v>0.22599999999999998</v>
      </c>
      <c r="Q20" s="120">
        <v>0.22299999999999986</v>
      </c>
      <c r="R20" s="120">
        <v>0.22199999999999998</v>
      </c>
      <c r="S20" s="120">
        <v>0.22199999999999998</v>
      </c>
      <c r="T20" s="120">
        <v>0.21999999999999997</v>
      </c>
      <c r="U20" s="120">
        <v>0.2200000000000002</v>
      </c>
      <c r="V20" s="120">
        <v>0.22199999999999998</v>
      </c>
    </row>
    <row r="21" spans="1:22">
      <c r="A21" s="26" t="s">
        <v>184</v>
      </c>
      <c r="B21" s="121" t="e">
        <f>시가평가표!#REF!-시가평가표!#REF!</f>
        <v>#REF!</v>
      </c>
      <c r="C21" s="127">
        <v>6.6000000000000059E-2</v>
      </c>
      <c r="D21" s="252">
        <v>6.6000000000000003E-2</v>
      </c>
      <c r="E21" s="129">
        <v>6.6000000000000059E-2</v>
      </c>
      <c r="F21" s="128">
        <v>6.6000000000000059E-2</v>
      </c>
      <c r="G21" s="121">
        <v>5.600000000000005E-2</v>
      </c>
      <c r="H21" s="121">
        <v>5.600000000000005E-2</v>
      </c>
      <c r="I21" s="121">
        <v>5.0000000000000044E-2</v>
      </c>
      <c r="J21" s="121">
        <v>4.8000000000000043E-2</v>
      </c>
      <c r="K21" s="121">
        <v>4.3000000000000149E-2</v>
      </c>
      <c r="L21" s="121">
        <v>4.1000000000000147E-2</v>
      </c>
      <c r="M21" s="121">
        <v>4.1000000000000147E-2</v>
      </c>
      <c r="N21" s="121">
        <v>3.7000000000000144E-2</v>
      </c>
      <c r="O21" s="121">
        <v>3.5000000000000142E-2</v>
      </c>
      <c r="P21" s="121">
        <v>3.6000000000000032E-2</v>
      </c>
      <c r="Q21" s="121">
        <v>2.5000000000000133E-2</v>
      </c>
      <c r="R21" s="121">
        <v>2.200000000000002E-2</v>
      </c>
      <c r="S21" s="121">
        <v>3.2000000000000028E-2</v>
      </c>
      <c r="T21" s="121">
        <v>3.0000000000000027E-2</v>
      </c>
      <c r="U21" s="121">
        <v>2.9000000000000137E-2</v>
      </c>
      <c r="V21" s="121">
        <v>2.8000000000000025E-2</v>
      </c>
    </row>
    <row r="22" spans="1:22">
      <c r="B22" s="82"/>
      <c r="E22" s="82"/>
      <c r="H22" s="83"/>
      <c r="I22" s="83"/>
    </row>
    <row r="23" spans="1:22">
      <c r="B23" s="82"/>
      <c r="E23" s="82"/>
      <c r="H23" s="83"/>
      <c r="I23" s="83"/>
    </row>
    <row r="24" spans="1:22">
      <c r="B24" s="82"/>
      <c r="E24" s="82"/>
      <c r="H24" s="83"/>
      <c r="I24" s="83"/>
    </row>
    <row r="25" spans="1:22">
      <c r="B25" s="82"/>
      <c r="E25" s="82"/>
      <c r="H25" s="83"/>
      <c r="I25" s="83"/>
    </row>
    <row r="26" spans="1:22">
      <c r="B26" s="82"/>
      <c r="E26" s="82"/>
      <c r="H26" s="83"/>
      <c r="I26" s="83"/>
    </row>
    <row r="27" spans="1:22">
      <c r="B27" s="82"/>
      <c r="E27" s="82"/>
      <c r="H27" s="83"/>
      <c r="I27" s="83"/>
    </row>
    <row r="28" spans="1:22">
      <c r="B28" s="82"/>
      <c r="E28" s="82"/>
      <c r="H28" s="83"/>
      <c r="I28" s="83"/>
    </row>
    <row r="29" spans="1:22">
      <c r="B29" s="82"/>
      <c r="E29" s="82"/>
      <c r="H29" s="83"/>
      <c r="I29" s="83"/>
    </row>
    <row r="30" spans="1:22">
      <c r="B30" s="82"/>
      <c r="E30" s="82"/>
      <c r="H30" s="83"/>
      <c r="I30" s="83"/>
    </row>
    <row r="31" spans="1:22">
      <c r="B31" s="82"/>
      <c r="E31" s="82"/>
      <c r="H31" s="83"/>
      <c r="I31" s="83"/>
    </row>
    <row r="32" spans="1:22">
      <c r="B32" s="82"/>
      <c r="E32" s="82"/>
      <c r="H32" s="83"/>
      <c r="I32" s="83"/>
    </row>
    <row r="33" spans="2:9">
      <c r="B33" s="82"/>
      <c r="E33" s="82"/>
      <c r="H33" s="83"/>
      <c r="I33" s="83"/>
    </row>
    <row r="34" spans="2:9">
      <c r="B34" s="82"/>
      <c r="E34" s="82"/>
      <c r="H34" s="83"/>
      <c r="I34" s="83"/>
    </row>
    <row r="35" spans="2:9">
      <c r="B35" s="82"/>
      <c r="E35" s="82"/>
      <c r="H35" s="83"/>
      <c r="I35" s="83"/>
    </row>
    <row r="36" spans="2:9">
      <c r="B36" s="82"/>
      <c r="E36" s="82"/>
      <c r="H36" s="83"/>
      <c r="I36" s="83"/>
    </row>
    <row r="37" spans="2:9">
      <c r="B37" s="82"/>
      <c r="E37" s="82"/>
      <c r="H37" s="83"/>
      <c r="I37" s="83"/>
    </row>
    <row r="38" spans="2:9">
      <c r="B38" s="82"/>
      <c r="E38" s="82"/>
      <c r="H38" s="83"/>
      <c r="I38" s="83"/>
    </row>
    <row r="39" spans="2:9">
      <c r="B39" s="82"/>
      <c r="E39" s="82"/>
      <c r="H39" s="83"/>
      <c r="I39" s="83"/>
    </row>
    <row r="40" spans="2:9">
      <c r="B40" s="82"/>
      <c r="E40" s="82"/>
      <c r="H40" s="83"/>
      <c r="I40" s="83"/>
    </row>
    <row r="41" spans="2:9">
      <c r="B41" s="82"/>
      <c r="E41" s="82"/>
      <c r="H41" s="83"/>
      <c r="I41" s="83"/>
    </row>
    <row r="42" spans="2:9">
      <c r="B42" s="82"/>
      <c r="E42" s="82"/>
      <c r="H42" s="83"/>
      <c r="I42" s="83"/>
    </row>
    <row r="43" spans="2:9">
      <c r="B43" s="82"/>
      <c r="E43" s="82"/>
      <c r="H43" s="83"/>
      <c r="I43" s="83"/>
    </row>
    <row r="44" spans="2:9">
      <c r="B44" s="82"/>
      <c r="E44" s="82"/>
      <c r="H44" s="83"/>
      <c r="I44" s="83"/>
    </row>
    <row r="45" spans="2:9">
      <c r="B45" s="82"/>
      <c r="E45" s="82"/>
      <c r="H45" s="83"/>
      <c r="I45" s="83"/>
    </row>
    <row r="46" spans="2:9">
      <c r="B46" s="82"/>
      <c r="E46" s="82"/>
      <c r="H46" s="83"/>
      <c r="I46" s="83"/>
    </row>
    <row r="47" spans="2:9">
      <c r="B47" s="82"/>
      <c r="E47" s="82"/>
      <c r="H47" s="83"/>
      <c r="I47" s="83"/>
    </row>
    <row r="48" spans="2:9">
      <c r="B48" s="82"/>
      <c r="E48" s="82"/>
      <c r="H48" s="83"/>
      <c r="I48" s="83"/>
    </row>
    <row r="49" spans="2:9">
      <c r="B49" s="82"/>
      <c r="E49" s="82"/>
      <c r="H49" s="83"/>
      <c r="I49" s="83"/>
    </row>
    <row r="50" spans="2:9">
      <c r="B50" s="82"/>
      <c r="E50" s="82"/>
      <c r="H50" s="83"/>
      <c r="I50" s="83"/>
    </row>
    <row r="51" spans="2:9">
      <c r="B51" s="82"/>
      <c r="E51" s="82"/>
      <c r="H51" s="83"/>
      <c r="I51" s="83"/>
    </row>
    <row r="52" spans="2:9">
      <c r="B52" s="82"/>
      <c r="E52" s="82"/>
      <c r="H52" s="83"/>
      <c r="I52" s="83"/>
    </row>
    <row r="53" spans="2:9">
      <c r="B53" s="82"/>
      <c r="E53" s="82"/>
      <c r="H53" s="83"/>
      <c r="I53" s="83"/>
    </row>
    <row r="54" spans="2:9">
      <c r="B54" s="82"/>
      <c r="E54" s="82"/>
      <c r="H54" s="83"/>
      <c r="I54" s="83"/>
    </row>
    <row r="55" spans="2:9">
      <c r="B55" s="82"/>
      <c r="E55" s="82"/>
      <c r="H55" s="83"/>
      <c r="I55" s="83"/>
    </row>
    <row r="56" spans="2:9">
      <c r="B56" s="82"/>
      <c r="E56" s="82"/>
      <c r="H56" s="83"/>
      <c r="I56" s="83"/>
    </row>
    <row r="57" spans="2:9">
      <c r="B57" s="82"/>
      <c r="E57" s="82"/>
      <c r="H57" s="83"/>
      <c r="I57" s="83"/>
    </row>
    <row r="58" spans="2:9">
      <c r="B58" s="82"/>
      <c r="E58" s="82"/>
      <c r="H58" s="83"/>
      <c r="I58" s="83"/>
    </row>
    <row r="59" spans="2:9">
      <c r="B59" s="82"/>
      <c r="E59" s="82"/>
      <c r="H59" s="83"/>
      <c r="I59" s="83"/>
    </row>
    <row r="60" spans="2:9">
      <c r="B60" s="82"/>
      <c r="E60" s="82"/>
      <c r="H60" s="83"/>
      <c r="I60" s="83"/>
    </row>
    <row r="61" spans="2:9">
      <c r="B61" s="82"/>
      <c r="E61" s="82"/>
      <c r="H61" s="83"/>
      <c r="I61" s="83"/>
    </row>
    <row r="62" spans="2:9">
      <c r="B62" s="82"/>
      <c r="E62" s="82"/>
      <c r="H62" s="83"/>
      <c r="I62" s="83"/>
    </row>
    <row r="63" spans="2:9">
      <c r="B63" s="82"/>
      <c r="E63" s="82"/>
      <c r="H63" s="83"/>
      <c r="I63" s="83"/>
    </row>
    <row r="64" spans="2:9">
      <c r="B64" s="82"/>
      <c r="E64" s="82"/>
      <c r="H64" s="83"/>
      <c r="I64" s="83"/>
    </row>
    <row r="65" spans="2:9">
      <c r="B65" s="82"/>
      <c r="E65" s="82"/>
      <c r="H65" s="83"/>
      <c r="I65" s="83"/>
    </row>
    <row r="66" spans="2:9">
      <c r="B66" s="82"/>
      <c r="E66" s="82"/>
      <c r="H66" s="83"/>
      <c r="I66" s="83"/>
    </row>
    <row r="67" spans="2:9">
      <c r="B67" s="82"/>
      <c r="E67" s="82"/>
      <c r="H67" s="83"/>
      <c r="I67" s="83"/>
    </row>
    <row r="68" spans="2:9">
      <c r="B68" s="82"/>
      <c r="E68" s="82"/>
      <c r="H68" s="83"/>
      <c r="I68" s="83"/>
    </row>
    <row r="69" spans="2:9">
      <c r="B69" s="82"/>
      <c r="E69" s="82"/>
      <c r="H69" s="83"/>
      <c r="I69" s="83"/>
    </row>
    <row r="70" spans="2:9">
      <c r="B70" s="82"/>
      <c r="E70" s="82"/>
      <c r="H70" s="83"/>
      <c r="I70" s="83"/>
    </row>
    <row r="71" spans="2:9">
      <c r="B71" s="82"/>
      <c r="E71" s="82"/>
      <c r="H71" s="83"/>
      <c r="I71" s="83"/>
    </row>
    <row r="72" spans="2:9">
      <c r="B72" s="82"/>
      <c r="E72" s="82"/>
      <c r="H72" s="83"/>
      <c r="I72" s="83"/>
    </row>
    <row r="73" spans="2:9">
      <c r="B73" s="82"/>
      <c r="E73" s="82"/>
      <c r="H73" s="83"/>
      <c r="I73" s="83"/>
    </row>
    <row r="74" spans="2:9">
      <c r="B74" s="82"/>
      <c r="E74" s="82"/>
      <c r="H74" s="83"/>
      <c r="I74" s="83"/>
    </row>
    <row r="75" spans="2:9">
      <c r="B75" s="82"/>
      <c r="E75" s="82"/>
      <c r="H75" s="83"/>
      <c r="I75" s="83"/>
    </row>
    <row r="76" spans="2:9">
      <c r="B76" s="82"/>
      <c r="E76" s="82"/>
      <c r="H76" s="83"/>
      <c r="I76" s="83"/>
    </row>
    <row r="77" spans="2:9">
      <c r="B77" s="82"/>
      <c r="E77" s="82"/>
      <c r="H77" s="83"/>
      <c r="I77" s="83"/>
    </row>
    <row r="78" spans="2:9">
      <c r="B78" s="82"/>
      <c r="E78" s="82"/>
      <c r="H78" s="83"/>
      <c r="I78" s="83"/>
    </row>
    <row r="79" spans="2:9">
      <c r="B79" s="82"/>
      <c r="E79" s="82"/>
      <c r="H79" s="83"/>
      <c r="I79" s="83"/>
    </row>
    <row r="80" spans="2:9">
      <c r="B80" s="82"/>
      <c r="E80" s="82"/>
      <c r="H80" s="83"/>
      <c r="I80" s="83"/>
    </row>
    <row r="81" spans="1:27">
      <c r="B81" s="82"/>
      <c r="E81" s="82"/>
      <c r="H81" s="83"/>
      <c r="I81" s="83"/>
    </row>
    <row r="82" spans="1:27">
      <c r="B82" s="82"/>
      <c r="E82" s="82"/>
      <c r="H82" s="83"/>
      <c r="I82" s="83"/>
    </row>
    <row r="83" spans="1:27">
      <c r="A83" s="231"/>
      <c r="B83" s="232"/>
      <c r="C83" s="231"/>
      <c r="D83" s="231"/>
      <c r="E83" s="232"/>
      <c r="F83" s="231"/>
      <c r="G83" s="231"/>
      <c r="H83" s="233"/>
      <c r="I83" s="233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</row>
    <row r="84" spans="1:27">
      <c r="B84" s="82"/>
      <c r="E84" s="82"/>
      <c r="H84" s="83"/>
      <c r="I84" s="83"/>
    </row>
    <row r="85" spans="1:27">
      <c r="B85" s="82"/>
      <c r="E85" s="82"/>
      <c r="H85" s="83"/>
      <c r="I85" s="83"/>
    </row>
    <row r="86" spans="1:27">
      <c r="B86" s="82"/>
      <c r="E86" s="82"/>
      <c r="H86" s="83"/>
      <c r="I86" s="83"/>
    </row>
    <row r="87" spans="1:27">
      <c r="B87" s="82"/>
      <c r="E87" s="82"/>
      <c r="H87" s="83"/>
      <c r="I87" s="83"/>
    </row>
    <row r="88" spans="1:27">
      <c r="B88" s="82"/>
      <c r="E88" s="82"/>
      <c r="H88" s="83"/>
      <c r="I88" s="83"/>
    </row>
    <row r="89" spans="1:27">
      <c r="B89" s="82"/>
      <c r="E89" s="82"/>
      <c r="H89" s="83"/>
      <c r="I89" s="83"/>
    </row>
    <row r="90" spans="1:27">
      <c r="B90" s="82"/>
      <c r="E90" s="82"/>
      <c r="H90" s="83"/>
      <c r="I90" s="83"/>
    </row>
    <row r="91" spans="1:27">
      <c r="B91" s="82"/>
      <c r="E91" s="82"/>
      <c r="H91" s="83"/>
      <c r="I91" s="83"/>
    </row>
    <row r="92" spans="1:27">
      <c r="B92" s="82"/>
      <c r="E92" s="82"/>
      <c r="H92" s="83"/>
      <c r="I92" s="83"/>
    </row>
    <row r="93" spans="1:27">
      <c r="B93" s="82"/>
      <c r="E93" s="82"/>
      <c r="H93" s="83"/>
      <c r="I93" s="83"/>
    </row>
    <row r="94" spans="1:27">
      <c r="B94" s="82"/>
      <c r="E94" s="82"/>
      <c r="H94" s="83"/>
      <c r="I94" s="83"/>
    </row>
    <row r="95" spans="1:27">
      <c r="B95" s="82"/>
      <c r="E95" s="82"/>
      <c r="H95" s="83"/>
      <c r="I95" s="83"/>
    </row>
    <row r="96" spans="1:27">
      <c r="B96" s="82"/>
      <c r="E96" s="82"/>
      <c r="H96" s="83"/>
      <c r="I96" s="83"/>
    </row>
    <row r="97" spans="1:27">
      <c r="B97" s="82"/>
      <c r="E97" s="82"/>
      <c r="H97" s="83"/>
      <c r="I97" s="83"/>
    </row>
    <row r="98" spans="1:27">
      <c r="B98" s="82"/>
      <c r="E98" s="82"/>
      <c r="H98" s="83"/>
      <c r="I98" s="83"/>
    </row>
    <row r="99" spans="1:27">
      <c r="B99" s="82"/>
      <c r="E99" s="82"/>
      <c r="H99" s="83"/>
      <c r="I99" s="83"/>
    </row>
    <row r="100" spans="1:27">
      <c r="B100" s="82"/>
      <c r="E100" s="82"/>
      <c r="H100" s="83"/>
      <c r="I100" s="83"/>
    </row>
    <row r="101" spans="1:27" s="231" customFormat="1">
      <c r="A101" s="81"/>
      <c r="B101" s="82"/>
      <c r="C101" s="81"/>
      <c r="D101" s="81"/>
      <c r="E101" s="82"/>
      <c r="F101" s="81"/>
      <c r="G101" s="81"/>
      <c r="H101" s="83"/>
      <c r="I101" s="83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1</vt:i4>
      </vt:variant>
    </vt:vector>
  </HeadingPairs>
  <TitlesOfParts>
    <vt:vector size="10" baseType="lpstr">
      <vt:lpstr>민평표</vt:lpstr>
      <vt:lpstr>1</vt:lpstr>
      <vt:lpstr>1(t-1)</vt:lpstr>
      <vt:lpstr>2</vt:lpstr>
      <vt:lpstr>2(t-1)</vt:lpstr>
      <vt:lpstr>시평</vt:lpstr>
      <vt:lpstr>시가평가표</vt:lpstr>
      <vt:lpstr>Sheet1</vt:lpstr>
      <vt:lpstr>Sheet2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KIDB_67</cp:lastModifiedBy>
  <cp:lastPrinted>2019-08-27T22:47:44Z</cp:lastPrinted>
  <dcterms:created xsi:type="dcterms:W3CDTF">2006-03-12T23:57:35Z</dcterms:created>
  <dcterms:modified xsi:type="dcterms:W3CDTF">2019-08-28T23:15:59Z</dcterms:modified>
</cp:coreProperties>
</file>