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  <sheet name="시평" sheetId="8" r:id="rId2"/>
    <sheet name="시가평가표" sheetId="9" r:id="rId3"/>
  </sheets>
  <definedNames>
    <definedName name="_xlnm.Print_Area" localSheetId="0">민평표!$A$2:$S$123</definedName>
  </definedNames>
  <calcPr calcId="125725"/>
</workbook>
</file>

<file path=xl/calcChain.xml><?xml version="1.0" encoding="utf-8"?>
<calcChain xmlns="http://schemas.openxmlformats.org/spreadsheetml/2006/main">
  <c r="P4" i="1"/>
  <c r="Z68" i="9"/>
  <c r="C2"/>
  <c r="D2"/>
  <c r="E2"/>
  <c r="F2"/>
  <c r="G2"/>
  <c r="H2"/>
  <c r="I2"/>
  <c r="J2"/>
  <c r="K2"/>
  <c r="L2"/>
  <c r="M2"/>
  <c r="N2"/>
  <c r="C3"/>
  <c r="D3"/>
  <c r="E3"/>
  <c r="F3"/>
  <c r="G3"/>
  <c r="H3"/>
  <c r="I3"/>
  <c r="J3"/>
  <c r="K3"/>
  <c r="L3"/>
  <c r="M3"/>
  <c r="N3"/>
  <c r="C4"/>
  <c r="D4"/>
  <c r="E4"/>
  <c r="F4"/>
  <c r="G4"/>
  <c r="H4"/>
  <c r="I4"/>
  <c r="J4"/>
  <c r="K4"/>
  <c r="L4"/>
  <c r="M4"/>
  <c r="N4"/>
  <c r="C5"/>
  <c r="D5"/>
  <c r="E5"/>
  <c r="F5"/>
  <c r="G5"/>
  <c r="H5"/>
  <c r="I5"/>
  <c r="J5"/>
  <c r="K5"/>
  <c r="L5"/>
  <c r="M5"/>
  <c r="N5"/>
  <c r="C6"/>
  <c r="D6"/>
  <c r="E6"/>
  <c r="F6"/>
  <c r="G6"/>
  <c r="H6"/>
  <c r="I6"/>
  <c r="J6"/>
  <c r="K6"/>
  <c r="L6"/>
  <c r="M6"/>
  <c r="N6"/>
  <c r="C7"/>
  <c r="D7"/>
  <c r="E7"/>
  <c r="F7"/>
  <c r="G7"/>
  <c r="H7"/>
  <c r="I7"/>
  <c r="J7"/>
  <c r="K7"/>
  <c r="L7"/>
  <c r="M7"/>
  <c r="N7"/>
  <c r="C8"/>
  <c r="D8"/>
  <c r="E8"/>
  <c r="F8"/>
  <c r="G8"/>
  <c r="H8"/>
  <c r="I8"/>
  <c r="J8"/>
  <c r="K8"/>
  <c r="L8"/>
  <c r="M8"/>
  <c r="N8"/>
  <c r="C9"/>
  <c r="D9"/>
  <c r="E9"/>
  <c r="F9"/>
  <c r="G9"/>
  <c r="H9"/>
  <c r="I9"/>
  <c r="J9"/>
  <c r="K9"/>
  <c r="L9"/>
  <c r="M9"/>
  <c r="N9"/>
  <c r="C10"/>
  <c r="D10"/>
  <c r="E10"/>
  <c r="F10"/>
  <c r="G10"/>
  <c r="H10"/>
  <c r="I10"/>
  <c r="J10"/>
  <c r="K10"/>
  <c r="L10"/>
  <c r="M10"/>
  <c r="N10"/>
  <c r="C11"/>
  <c r="D11"/>
  <c r="E11"/>
  <c r="F11"/>
  <c r="G11"/>
  <c r="H11"/>
  <c r="I11"/>
  <c r="J11"/>
  <c r="K11"/>
  <c r="L11"/>
  <c r="M11"/>
  <c r="N11"/>
  <c r="C12"/>
  <c r="D12"/>
  <c r="E12"/>
  <c r="F12"/>
  <c r="G12"/>
  <c r="H12"/>
  <c r="I12"/>
  <c r="J12"/>
  <c r="K12"/>
  <c r="L12"/>
  <c r="M12"/>
  <c r="N12"/>
  <c r="C13"/>
  <c r="D13"/>
  <c r="E13"/>
  <c r="F13"/>
  <c r="G13"/>
  <c r="H13"/>
  <c r="I13"/>
  <c r="J13"/>
  <c r="K13"/>
  <c r="L13"/>
  <c r="M13"/>
  <c r="N13"/>
  <c r="C14"/>
  <c r="D14"/>
  <c r="E14"/>
  <c r="F14"/>
  <c r="G14"/>
  <c r="H14"/>
  <c r="I14"/>
  <c r="J14"/>
  <c r="K14"/>
  <c r="L14"/>
  <c r="M14"/>
  <c r="N14"/>
  <c r="C15"/>
  <c r="D15"/>
  <c r="E15"/>
  <c r="F15"/>
  <c r="G15"/>
  <c r="H15"/>
  <c r="I15"/>
  <c r="J15"/>
  <c r="K15"/>
  <c r="L15"/>
  <c r="M15"/>
  <c r="N15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20"/>
  <c r="D20"/>
  <c r="E20"/>
  <c r="F20"/>
  <c r="G20"/>
  <c r="H20"/>
  <c r="I20"/>
  <c r="J20"/>
  <c r="K20"/>
  <c r="L20"/>
  <c r="M20"/>
  <c r="N20"/>
  <c r="C21"/>
  <c r="D21"/>
  <c r="E21"/>
  <c r="F21"/>
  <c r="G21"/>
  <c r="H21"/>
  <c r="I21"/>
  <c r="J21"/>
  <c r="K21"/>
  <c r="L21"/>
  <c r="M21"/>
  <c r="N21"/>
  <c r="C22"/>
  <c r="D22"/>
  <c r="E22"/>
  <c r="F22"/>
  <c r="G22"/>
  <c r="H22"/>
  <c r="I22"/>
  <c r="J22"/>
  <c r="K22"/>
  <c r="L22"/>
  <c r="M22"/>
  <c r="N22"/>
</calcChain>
</file>

<file path=xl/sharedStrings.xml><?xml version="1.0" encoding="utf-8"?>
<sst xmlns="http://schemas.openxmlformats.org/spreadsheetml/2006/main" count="693" uniqueCount="330">
  <si>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</si>
  <si>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</si>
  <si>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</si>
  <si>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</si>
  <si>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</si>
  <si>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</si>
  <si>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</si>
  <si>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</si>
  <si>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</si>
  <si>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</si>
  <si>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</si>
  <si>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</si>
  <si>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-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</si>
  <si>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</si>
  <si>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</si>
  <si>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</si>
  <si>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</si>
  <si>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</si>
  <si>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그룹명</t>
  </si>
  <si>
    <t>3M</t>
  </si>
  <si>
    <t>6M</t>
  </si>
  <si>
    <t>9M</t>
  </si>
  <si>
    <t>1Y</t>
  </si>
  <si>
    <t>1Y6M</t>
  </si>
  <si>
    <t>2Y</t>
  </si>
  <si>
    <t>2Y6M</t>
  </si>
  <si>
    <t>3Y</t>
  </si>
  <si>
    <t>4Y</t>
  </si>
  <si>
    <t>5Y</t>
  </si>
  <si>
    <t>7Y</t>
  </si>
  <si>
    <t>10Y</t>
  </si>
  <si>
    <t>20Y</t>
  </si>
  <si>
    <t>국고채</t>
  </si>
  <si>
    <t>서울도시철도채</t>
  </si>
  <si>
    <t>지역개발채</t>
  </si>
  <si>
    <t>MBS</t>
  </si>
  <si>
    <t>특수채 AAA</t>
  </si>
  <si>
    <t>특수채 AA+</t>
  </si>
  <si>
    <t>통안채</t>
  </si>
  <si>
    <t>산금채</t>
  </si>
  <si>
    <t>중금채</t>
  </si>
  <si>
    <t>은행채 AAA</t>
  </si>
  <si>
    <t>은행채 AA+</t>
  </si>
  <si>
    <t>특수은보회사채</t>
  </si>
  <si>
    <t>시중은보회사채</t>
  </si>
  <si>
    <t>지방은보회사채</t>
  </si>
  <si>
    <t>기타보증회사채</t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</si>
  <si>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</si>
  <si>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</si>
  <si>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</si>
  <si>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</si>
  <si>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</si>
  <si>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</si>
  <si>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</si>
  <si>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</si>
  <si>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>무보증사채</t>
    <phoneticPr fontId="2" type="noConversion"/>
  </si>
  <si>
    <t>AA0</t>
    <phoneticPr fontId="2" type="noConversion"/>
  </si>
  <si>
    <t>AA-</t>
    <phoneticPr fontId="2" type="noConversion"/>
  </si>
  <si>
    <t>A+</t>
    <phoneticPr fontId="2" type="noConversion"/>
  </si>
  <si>
    <t>2.5Y</t>
    <phoneticPr fontId="2" type="noConversion"/>
  </si>
  <si>
    <t>AA+</t>
    <phoneticPr fontId="2" type="noConversion"/>
  </si>
  <si>
    <t>국주 1종</t>
    <phoneticPr fontId="2" type="noConversion"/>
  </si>
  <si>
    <t>AAA</t>
    <phoneticPr fontId="2" type="noConversion"/>
  </si>
  <si>
    <t>A0</t>
    <phoneticPr fontId="2" type="noConversion"/>
  </si>
  <si>
    <t>A-</t>
    <phoneticPr fontId="2" type="noConversion"/>
  </si>
  <si>
    <t>1.5Y</t>
    <phoneticPr fontId="2" type="noConversion"/>
  </si>
  <si>
    <t>국민주택1종</t>
  </si>
  <si>
    <t>국민주택2종</t>
  </si>
  <si>
    <t>특수채AAA</t>
  </si>
  <si>
    <t>특수채AA+</t>
  </si>
  <si>
    <t>특수채AA0</t>
  </si>
  <si>
    <t>특수채AA-</t>
  </si>
  <si>
    <t>은행채AAA</t>
  </si>
  <si>
    <t>은행채AA+</t>
  </si>
  <si>
    <t>은행채AA0</t>
  </si>
  <si>
    <t>은행채AA-</t>
  </si>
  <si>
    <t>은행채A+</t>
  </si>
  <si>
    <t>은행채A0</t>
  </si>
  <si>
    <t>은행채A-</t>
  </si>
  <si>
    <t>비은행금융채AA0</t>
  </si>
  <si>
    <t>비은행금융채AA-</t>
  </si>
  <si>
    <t>비은행금융채A+</t>
  </si>
  <si>
    <t>비은행금융채A0</t>
  </si>
  <si>
    <t>비은행금융채A-</t>
  </si>
  <si>
    <t>비은행금융채BBB+</t>
  </si>
  <si>
    <t>비은행금융채BBB0</t>
  </si>
  <si>
    <t>비은행금융채BBB-</t>
  </si>
  <si>
    <t>카드채AA0</t>
  </si>
  <si>
    <t>카드채AA-</t>
  </si>
  <si>
    <t>카드채A+</t>
  </si>
  <si>
    <t>카드채A0</t>
  </si>
  <si>
    <t>카드채A-</t>
  </si>
  <si>
    <t>카드채BBB+</t>
  </si>
  <si>
    <t>카드채BBB0</t>
  </si>
  <si>
    <t>카드채BBB-</t>
  </si>
  <si>
    <t>보증사채AAA</t>
  </si>
  <si>
    <t>보증사채AA+</t>
  </si>
  <si>
    <t>보증사채AA0</t>
  </si>
  <si>
    <t>보증사채AA-</t>
  </si>
  <si>
    <t>보증사채A+</t>
  </si>
  <si>
    <t>보증사채A0</t>
  </si>
  <si>
    <t>보증사채A-</t>
  </si>
  <si>
    <t>무보증사채AAA</t>
  </si>
  <si>
    <t>무보증사채AA+</t>
  </si>
  <si>
    <t>무보증사채AA0</t>
  </si>
  <si>
    <t>무보증사채AA-</t>
  </si>
  <si>
    <t>무보증사채A+</t>
  </si>
  <si>
    <t>무보증사채A0</t>
  </si>
  <si>
    <t>무보증사채A-</t>
  </si>
  <si>
    <t>무보증사채BBB+</t>
  </si>
  <si>
    <t>무보증사채BBB0</t>
  </si>
  <si>
    <t>무보증사채BBB-</t>
  </si>
  <si>
    <t>사모사채AAA</t>
  </si>
  <si>
    <t>사모사채AA+</t>
  </si>
  <si>
    <t>사모사채AA0</t>
  </si>
  <si>
    <t>사모사채AA-</t>
  </si>
  <si>
    <t>사모사채A+</t>
  </si>
  <si>
    <t>사모사채A0</t>
  </si>
  <si>
    <t>사모사채A-</t>
  </si>
  <si>
    <t>사모사채BBB+</t>
  </si>
  <si>
    <t>사모사채BBB0</t>
  </si>
  <si>
    <t>사모사채BBB-</t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</si>
  <si>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</si>
  <si>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</si>
  <si>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</si>
  <si>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</si>
  <si>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</si>
  <si>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</si>
  <si>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</si>
  <si>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</si>
  <si>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비은행금융채AA+</t>
  </si>
  <si>
    <t>CD</t>
    <phoneticPr fontId="2" type="noConversion"/>
  </si>
  <si>
    <t>그룹명</t>
    <phoneticPr fontId="2" type="noConversion"/>
  </si>
  <si>
    <t>15Y</t>
  </si>
  <si>
    <t>카드채AA+</t>
  </si>
  <si>
    <t>스프레드</t>
  </si>
  <si>
    <t>국고20년 - 국고10년</t>
  </si>
  <si>
    <t>국고10년 - 국고5년</t>
  </si>
  <si>
    <t>1D</t>
  </si>
  <si>
    <t>7D</t>
  </si>
  <si>
    <t>10D</t>
  </si>
  <si>
    <t>15D</t>
  </si>
  <si>
    <t>1M</t>
  </si>
  <si>
    <t>2M</t>
  </si>
  <si>
    <t>4M</t>
  </si>
  <si>
    <t>국고9-5(0550-2912)</t>
  </si>
  <si>
    <t>국고8-2(0550-2803)</t>
  </si>
  <si>
    <t xml:space="preserve">카드채
</t>
    <phoneticPr fontId="2" type="noConversion"/>
  </si>
  <si>
    <t>AA+</t>
    <phoneticPr fontId="2" type="noConversion"/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</si>
  <si>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</si>
  <si>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</si>
  <si>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</si>
  <si>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</si>
  <si>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</si>
  <si>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</si>
  <si>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</si>
  <si>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</si>
  <si>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</si>
  <si>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</si>
  <si>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</si>
  <si>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</si>
  <si>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</si>
  <si>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</si>
  <si>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</si>
  <si>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</si>
  <si>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</si>
  <si>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</si>
  <si>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</si>
  <si>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정부보증채</t>
  </si>
  <si>
    <t>30Y</t>
  </si>
  <si>
    <t>예특3년</t>
    <phoneticPr fontId="2" type="noConversion"/>
  </si>
  <si>
    <t>-국고3년</t>
    <phoneticPr fontId="2" type="noConversion"/>
  </si>
  <si>
    <t>예보상환기금채2015-1</t>
  </si>
  <si>
    <t>MBS</t>
    <phoneticPr fontId="2" type="noConversion"/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</si>
  <si>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</si>
  <si>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</si>
  <si>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</si>
  <si>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</si>
  <si>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</si>
  <si>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</si>
  <si>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정부보증채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</si>
  <si>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</si>
  <si>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</si>
  <si>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</si>
  <si>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</si>
  <si>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</si>
  <si>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</si>
  <si>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</si>
  <si>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</si>
  <si>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</si>
  <si>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</si>
  <si>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50Y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</si>
  <si>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</si>
  <si>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</si>
  <si>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</si>
  <si>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</si>
  <si>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</si>
  <si>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</si>
  <si>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</si>
  <si>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</si>
  <si>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</si>
  <si>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</si>
  <si>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</si>
  <si>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</si>
  <si>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</si>
  <si>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</si>
  <si>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</si>
  <si>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</si>
  <si>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</si>
  <si>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</si>
  <si>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</si>
  <si>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</si>
  <si>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</si>
  <si>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</si>
  <si>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</si>
  <si>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</si>
  <si>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</si>
  <si>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</si>
  <si>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</si>
  <si>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</si>
  <si>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</si>
  <si>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</si>
  <si>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</si>
  <si>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무보증사채BB+</t>
  </si>
  <si>
    <t>무보증사채BB0</t>
  </si>
  <si>
    <t>무보증사채BB-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</si>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</sst>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7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35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10" fillId="0" borderId="1" xfId="0" applyNumberFormat="1" applyFont="1" applyFill="1" applyBorder="1" applyAlignment="1">
      <alignment horizontal="center" vertical="center"/>
    </xf>
    <xf numFmtId="17" fontId="10" fillId="0" borderId="5" xfId="0" applyNumberFormat="1" applyFont="1" applyFill="1" applyBorder="1" applyAlignment="1">
      <alignment horizontal="center" vertical="center"/>
    </xf>
    <xf numFmtId="17" fontId="10" fillId="0" borderId="6" xfId="0" applyNumberFormat="1" applyFont="1" applyFill="1" applyBorder="1" applyAlignment="1">
      <alignment horizontal="center" vertical="center"/>
    </xf>
    <xf numFmtId="17" fontId="10" fillId="0" borderId="7" xfId="0" applyNumberFormat="1" applyFont="1" applyFill="1" applyBorder="1" applyAlignment="1">
      <alignment horizontal="center" vertical="center"/>
    </xf>
    <xf numFmtId="180" fontId="10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10" fillId="0" borderId="6" xfId="0" applyNumberFormat="1" applyFont="1" applyFill="1" applyBorder="1" applyAlignment="1">
      <alignment horizontal="center" vertical="center"/>
    </xf>
    <xf numFmtId="181" fontId="10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10" fillId="0" borderId="9" xfId="0" quotePrefix="1" applyNumberFormat="1" applyFont="1" applyFill="1" applyBorder="1" applyAlignment="1">
      <alignment horizontal="center" vertical="center"/>
    </xf>
    <xf numFmtId="17" fontId="10" fillId="0" borderId="10" xfId="0" applyNumberFormat="1" applyFont="1" applyFill="1" applyBorder="1" applyAlignment="1">
      <alignment horizontal="center" vertical="center"/>
    </xf>
    <xf numFmtId="181" fontId="10" fillId="0" borderId="10" xfId="0" applyNumberFormat="1" applyFont="1" applyFill="1" applyBorder="1" applyAlignment="1">
      <alignment horizontal="center" vertical="center"/>
    </xf>
    <xf numFmtId="17" fontId="10" fillId="0" borderId="11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1" fillId="0" borderId="0" xfId="0" applyFont="1" applyBorder="1"/>
    <xf numFmtId="0" fontId="10" fillId="0" borderId="6" xfId="0" applyFont="1" applyFill="1" applyBorder="1" applyAlignment="1">
      <alignment horizontal="center" vertical="center"/>
    </xf>
    <xf numFmtId="177" fontId="10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10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7" xfId="0" applyNumberFormat="1" applyFont="1" applyBorder="1" applyAlignment="1">
      <alignment horizontal="center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2" fillId="0" borderId="14" xfId="0" applyNumberFormat="1" applyFont="1" applyBorder="1" applyAlignment="1">
      <alignment horizontal="center"/>
    </xf>
    <xf numFmtId="183" fontId="2" fillId="0" borderId="18" xfId="0" applyNumberFormat="1" applyFont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  <xf numFmtId="183" fontId="2" fillId="0" borderId="21" xfId="0" applyNumberFormat="1" applyFont="1" applyBorder="1" applyAlignment="1">
      <alignment horizontal="center"/>
    </xf>
    <xf numFmtId="183" fontId="2" fillId="0" borderId="22" xfId="0" applyNumberFormat="1" applyFont="1" applyBorder="1" applyAlignment="1">
      <alignment horizontal="center"/>
    </xf>
    <xf numFmtId="183" fontId="2" fillId="3" borderId="23" xfId="0" applyNumberFormat="1" applyFont="1" applyFill="1" applyBorder="1" applyAlignment="1">
      <alignment horizontal="center"/>
    </xf>
    <xf numFmtId="183" fontId="2" fillId="3" borderId="17" xfId="0" applyNumberFormat="1" applyFont="1" applyFill="1" applyBorder="1" applyAlignment="1">
      <alignment horizontal="center"/>
    </xf>
    <xf numFmtId="183" fontId="2" fillId="3" borderId="16" xfId="0" applyNumberFormat="1" applyFont="1" applyFill="1" applyBorder="1" applyAlignment="1">
      <alignment horizontal="center"/>
    </xf>
    <xf numFmtId="183" fontId="2" fillId="3" borderId="3" xfId="0" applyNumberFormat="1" applyFont="1" applyFill="1" applyBorder="1" applyAlignment="1">
      <alignment horizontal="center"/>
    </xf>
    <xf numFmtId="183" fontId="2" fillId="0" borderId="24" xfId="0" applyNumberFormat="1" applyFont="1" applyBorder="1" applyAlignment="1">
      <alignment horizontal="center"/>
    </xf>
    <xf numFmtId="183" fontId="2" fillId="3" borderId="15" xfId="0" applyNumberFormat="1" applyFont="1" applyFill="1" applyBorder="1" applyAlignment="1">
      <alignment horizontal="center"/>
    </xf>
    <xf numFmtId="183" fontId="2" fillId="0" borderId="20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2" fillId="3" borderId="18" xfId="0" applyNumberFormat="1" applyFont="1" applyFill="1" applyBorder="1" applyAlignment="1">
      <alignment horizontal="center"/>
    </xf>
    <xf numFmtId="183" fontId="2" fillId="3" borderId="4" xfId="0" applyNumberFormat="1" applyFont="1" applyFill="1" applyBorder="1" applyAlignment="1">
      <alignment horizontal="center"/>
    </xf>
    <xf numFmtId="183" fontId="2" fillId="0" borderId="3" xfId="0" applyNumberFormat="1" applyFont="1" applyFill="1" applyBorder="1" applyAlignment="1">
      <alignment horizontal="center"/>
    </xf>
    <xf numFmtId="183" fontId="2" fillId="0" borderId="18" xfId="0" applyNumberFormat="1" applyFont="1" applyFill="1" applyBorder="1" applyAlignment="1">
      <alignment horizontal="center"/>
    </xf>
    <xf numFmtId="183" fontId="2" fillId="0" borderId="4" xfId="0" applyNumberFormat="1" applyFont="1" applyFill="1" applyBorder="1" applyAlignment="1">
      <alignment horizontal="center"/>
    </xf>
    <xf numFmtId="183" fontId="2" fillId="0" borderId="19" xfId="0" applyNumberFormat="1" applyFont="1" applyFill="1" applyBorder="1" applyAlignment="1">
      <alignment horizontal="center"/>
    </xf>
    <xf numFmtId="183" fontId="2" fillId="0" borderId="2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83" fontId="4" fillId="5" borderId="6" xfId="0" applyNumberFormat="1" applyFont="1" applyFill="1" applyBorder="1" applyAlignment="1">
      <alignment horizontal="center"/>
    </xf>
    <xf numFmtId="183" fontId="4" fillId="5" borderId="7" xfId="0" applyNumberFormat="1" applyFont="1" applyFill="1" applyBorder="1" applyAlignment="1">
      <alignment horizontal="center"/>
    </xf>
    <xf numFmtId="0" fontId="4" fillId="6" borderId="3" xfId="0" applyFont="1" applyFill="1" applyBorder="1"/>
    <xf numFmtId="17" fontId="10" fillId="0" borderId="0" xfId="0" applyNumberFormat="1" applyFont="1" applyFill="1" applyBorder="1" applyAlignment="1">
      <alignment horizontal="center" vertical="center"/>
    </xf>
    <xf numFmtId="181" fontId="10" fillId="0" borderId="0" xfId="0" applyNumberFormat="1" applyFont="1" applyFill="1" applyBorder="1" applyAlignment="1">
      <alignment horizontal="center" vertical="center"/>
    </xf>
    <xf numFmtId="183" fontId="2" fillId="0" borderId="25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183" fontId="2" fillId="0" borderId="8" xfId="0" applyNumberFormat="1" applyFont="1" applyBorder="1" applyAlignment="1">
      <alignment horizontal="center"/>
    </xf>
    <xf numFmtId="180" fontId="10" fillId="0" borderId="8" xfId="0" applyNumberFormat="1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/>
    </xf>
    <xf numFmtId="183" fontId="2" fillId="4" borderId="27" xfId="0" applyNumberFormat="1" applyFont="1" applyFill="1" applyBorder="1" applyAlignment="1">
      <alignment horizont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6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5" borderId="10" xfId="0" applyNumberFormat="1" applyFont="1" applyFill="1" applyBorder="1" applyAlignment="1">
      <alignment horizontal="center"/>
    </xf>
    <xf numFmtId="188" fontId="10" fillId="0" borderId="6" xfId="0" applyNumberFormat="1" applyFont="1" applyFill="1" applyBorder="1" applyAlignment="1">
      <alignment horizontal="center" vertical="center"/>
    </xf>
    <xf numFmtId="188" fontId="10" fillId="0" borderId="10" xfId="0" applyNumberFormat="1" applyFont="1" applyFill="1" applyBorder="1" applyAlignment="1">
      <alignment horizontal="center" vertical="center"/>
    </xf>
    <xf numFmtId="188" fontId="10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83" fontId="12" fillId="0" borderId="0" xfId="0" applyNumberFormat="1" applyFont="1"/>
    <xf numFmtId="183" fontId="2" fillId="4" borderId="24" xfId="0" applyNumberFormat="1" applyFont="1" applyFill="1" applyBorder="1" applyAlignment="1">
      <alignment horizontal="center"/>
    </xf>
    <xf numFmtId="17" fontId="10" fillId="0" borderId="34" xfId="0" applyNumberFormat="1" applyFont="1" applyFill="1" applyBorder="1" applyAlignment="1">
      <alignment horizontal="center" vertical="center"/>
    </xf>
    <xf numFmtId="188" fontId="10" fillId="0" borderId="35" xfId="0" applyNumberFormat="1" applyFont="1" applyFill="1" applyBorder="1" applyAlignment="1">
      <alignment horizontal="center" vertical="center"/>
    </xf>
    <xf numFmtId="188" fontId="10" fillId="0" borderId="25" xfId="0" applyNumberFormat="1" applyFont="1" applyFill="1" applyBorder="1" applyAlignment="1">
      <alignment horizontal="center" vertical="center"/>
    </xf>
    <xf numFmtId="188" fontId="10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3" fontId="0" fillId="0" borderId="9" xfId="0" applyNumberFormat="1" applyBorder="1"/>
    <xf numFmtId="188" fontId="10" fillId="0" borderId="34" xfId="0" applyNumberFormat="1" applyFont="1" applyFill="1" applyBorder="1" applyAlignment="1">
      <alignment horizontal="center" vertical="center"/>
    </xf>
    <xf numFmtId="183" fontId="4" fillId="5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7" borderId="17" xfId="0" applyNumberFormat="1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183" fontId="3" fillId="7" borderId="5" xfId="0" applyNumberFormat="1" applyFont="1" applyFill="1" applyBorder="1" applyAlignment="1">
      <alignment horizontal="center"/>
    </xf>
    <xf numFmtId="183" fontId="3" fillId="7" borderId="23" xfId="0" applyNumberFormat="1" applyFont="1" applyFill="1" applyBorder="1" applyAlignment="1">
      <alignment horizontal="center"/>
    </xf>
    <xf numFmtId="0" fontId="3" fillId="7" borderId="15" xfId="0" applyFont="1" applyFill="1" applyBorder="1"/>
    <xf numFmtId="179" fontId="3" fillId="7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6" borderId="14" xfId="0" applyNumberFormat="1" applyFont="1" applyFill="1" applyBorder="1" applyAlignment="1">
      <alignment horizontal="center"/>
    </xf>
    <xf numFmtId="3" fontId="4" fillId="6" borderId="4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3" fillId="8" borderId="3" xfId="0" applyFont="1" applyFill="1" applyBorder="1"/>
    <xf numFmtId="0" fontId="3" fillId="8" borderId="30" xfId="0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79" fontId="3" fillId="8" borderId="18" xfId="0" applyNumberFormat="1" applyFont="1" applyFill="1" applyBorder="1" applyAlignment="1">
      <alignment horizontal="right"/>
    </xf>
    <xf numFmtId="177" fontId="3" fillId="8" borderId="18" xfId="0" applyNumberFormat="1" applyFont="1" applyFill="1" applyBorder="1" applyAlignment="1">
      <alignment horizontal="center"/>
    </xf>
    <xf numFmtId="41" fontId="3" fillId="8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7" fillId="9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6" borderId="18" xfId="0" applyNumberFormat="1" applyFont="1" applyFill="1" applyBorder="1" applyAlignment="1">
      <alignment horizontal="right"/>
    </xf>
    <xf numFmtId="177" fontId="4" fillId="6" borderId="18" xfId="0" applyNumberFormat="1" applyFont="1" applyFill="1" applyBorder="1" applyAlignment="1">
      <alignment horizontal="center"/>
    </xf>
    <xf numFmtId="41" fontId="4" fillId="6" borderId="4" xfId="1" applyFont="1" applyFill="1" applyBorder="1" applyAlignment="1">
      <alignment horizontal="center"/>
    </xf>
    <xf numFmtId="14" fontId="4" fillId="6" borderId="14" xfId="0" applyNumberFormat="1" applyFont="1" applyFill="1" applyBorder="1" applyAlignment="1">
      <alignment horizontal="center"/>
    </xf>
    <xf numFmtId="14" fontId="3" fillId="8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6" borderId="41" xfId="0" applyNumberFormat="1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/>
    </xf>
    <xf numFmtId="183" fontId="4" fillId="6" borderId="43" xfId="0" applyNumberFormat="1" applyFont="1" applyFill="1" applyBorder="1" applyAlignment="1">
      <alignment horizontal="center"/>
    </xf>
    <xf numFmtId="3" fontId="4" fillId="6" borderId="44" xfId="0" applyNumberFormat="1" applyFont="1" applyFill="1" applyBorder="1" applyAlignment="1">
      <alignment horizontal="center"/>
    </xf>
    <xf numFmtId="0" fontId="3" fillId="8" borderId="45" xfId="0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183" fontId="0" fillId="9" borderId="0" xfId="0" applyNumberFormat="1" applyFill="1" applyBorder="1"/>
    <xf numFmtId="0" fontId="0" fillId="9" borderId="0" xfId="0" applyFill="1" applyBorder="1"/>
    <xf numFmtId="0" fontId="4" fillId="9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9" borderId="0" xfId="0" applyFill="1"/>
    <xf numFmtId="0" fontId="0" fillId="9" borderId="0" xfId="0" applyFill="1" applyAlignment="1">
      <alignment horizontal="center"/>
    </xf>
    <xf numFmtId="183" fontId="0" fillId="9" borderId="0" xfId="0" applyNumberFormat="1" applyFill="1"/>
    <xf numFmtId="182" fontId="0" fillId="9" borderId="0" xfId="0" applyNumberFormat="1" applyFill="1"/>
    <xf numFmtId="179" fontId="0" fillId="9" borderId="0" xfId="0" applyNumberFormat="1" applyFill="1" applyAlignment="1">
      <alignment horizontal="right"/>
    </xf>
    <xf numFmtId="0" fontId="4" fillId="0" borderId="15" xfId="0" applyFont="1" applyBorder="1"/>
    <xf numFmtId="0" fontId="4" fillId="6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8" borderId="49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14" fontId="4" fillId="6" borderId="33" xfId="0" applyNumberFormat="1" applyFont="1" applyFill="1" applyBorder="1" applyAlignment="1">
      <alignment horizontal="center"/>
    </xf>
    <xf numFmtId="183" fontId="4" fillId="6" borderId="23" xfId="0" applyNumberFormat="1" applyFont="1" applyFill="1" applyBorder="1" applyAlignment="1">
      <alignment horizontal="center"/>
    </xf>
    <xf numFmtId="3" fontId="4" fillId="6" borderId="16" xfId="0" applyNumberFormat="1" applyFont="1" applyFill="1" applyBorder="1" applyAlignment="1">
      <alignment horizontal="center"/>
    </xf>
    <xf numFmtId="176" fontId="3" fillId="6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183" fontId="2" fillId="0" borderId="38" xfId="0" applyNumberFormat="1" applyFont="1" applyBorder="1"/>
    <xf numFmtId="183" fontId="2" fillId="0" borderId="40" xfId="0" applyNumberFormat="1" applyFont="1" applyFill="1" applyBorder="1" applyAlignment="1">
      <alignment horizontal="center"/>
    </xf>
    <xf numFmtId="183" fontId="2" fillId="0" borderId="53" xfId="0" applyNumberFormat="1" applyFont="1" applyBorder="1" applyAlignment="1">
      <alignment horizontal="center"/>
    </xf>
    <xf numFmtId="0" fontId="3" fillId="8" borderId="49" xfId="0" applyFont="1" applyFill="1" applyBorder="1"/>
    <xf numFmtId="14" fontId="4" fillId="6" borderId="17" xfId="0" applyNumberFormat="1" applyFont="1" applyFill="1" applyBorder="1" applyAlignment="1">
      <alignment horizontal="center"/>
    </xf>
    <xf numFmtId="14" fontId="4" fillId="6" borderId="22" xfId="0" applyNumberFormat="1" applyFont="1" applyFill="1" applyBorder="1" applyAlignment="1">
      <alignment horizontal="center"/>
    </xf>
    <xf numFmtId="3" fontId="4" fillId="6" borderId="20" xfId="0" applyNumberFormat="1" applyFont="1" applyFill="1" applyBorder="1" applyAlignment="1">
      <alignment horizontal="center"/>
    </xf>
    <xf numFmtId="14" fontId="4" fillId="6" borderId="30" xfId="0" applyNumberFormat="1" applyFont="1" applyFill="1" applyBorder="1" applyAlignment="1">
      <alignment horizontal="center"/>
    </xf>
    <xf numFmtId="14" fontId="4" fillId="6" borderId="31" xfId="0" applyNumberFormat="1" applyFont="1" applyFill="1" applyBorder="1" applyAlignment="1">
      <alignment horizontal="center"/>
    </xf>
    <xf numFmtId="183" fontId="4" fillId="6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6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10" fillId="0" borderId="54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10" borderId="50" xfId="0" applyNumberFormat="1" applyFont="1" applyFill="1" applyBorder="1" applyAlignment="1">
      <alignment horizontal="center"/>
    </xf>
    <xf numFmtId="14" fontId="3" fillId="10" borderId="45" xfId="0" applyNumberFormat="1" applyFont="1" applyFill="1" applyBorder="1" applyAlignment="1">
      <alignment horizontal="center"/>
    </xf>
    <xf numFmtId="183" fontId="3" fillId="10" borderId="12" xfId="0" applyNumberFormat="1" applyFont="1" applyFill="1" applyBorder="1" applyAlignment="1">
      <alignment horizontal="center"/>
    </xf>
    <xf numFmtId="183" fontId="3" fillId="10" borderId="46" xfId="0" applyNumberFormat="1" applyFont="1" applyFill="1" applyBorder="1" applyAlignment="1">
      <alignment horizontal="center"/>
    </xf>
    <xf numFmtId="3" fontId="3" fillId="10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6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6" borderId="27" xfId="0" applyNumberFormat="1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183" fontId="4" fillId="5" borderId="11" xfId="0" applyNumberFormat="1" applyFont="1" applyFill="1" applyBorder="1" applyAlignment="1">
      <alignment horizontal="center"/>
    </xf>
    <xf numFmtId="183" fontId="4" fillId="6" borderId="13" xfId="0" applyNumberFormat="1" applyFont="1" applyFill="1" applyBorder="1" applyAlignment="1">
      <alignment horizontal="center"/>
    </xf>
    <xf numFmtId="3" fontId="4" fillId="6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left"/>
    </xf>
    <xf numFmtId="14" fontId="3" fillId="8" borderId="17" xfId="0" applyNumberFormat="1" applyFont="1" applyFill="1" applyBorder="1" applyAlignment="1">
      <alignment horizontal="center"/>
    </xf>
    <xf numFmtId="0" fontId="3" fillId="8" borderId="33" xfId="0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/>
    </xf>
    <xf numFmtId="183" fontId="2" fillId="0" borderId="46" xfId="0" applyNumberFormat="1" applyFont="1" applyBorder="1" applyAlignment="1">
      <alignment horizontal="center"/>
    </xf>
    <xf numFmtId="183" fontId="2" fillId="0" borderId="55" xfId="0" applyNumberFormat="1" applyFont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5" fillId="4" borderId="56" xfId="0" applyNumberFormat="1" applyFont="1" applyFill="1" applyBorder="1" applyAlignment="1">
      <alignment horizontal="center"/>
    </xf>
    <xf numFmtId="14" fontId="4" fillId="6" borderId="57" xfId="0" applyNumberFormat="1" applyFont="1" applyFill="1" applyBorder="1" applyAlignment="1">
      <alignment horizontal="center"/>
    </xf>
    <xf numFmtId="14" fontId="4" fillId="6" borderId="58" xfId="0" applyNumberFormat="1" applyFont="1" applyFill="1" applyBorder="1" applyAlignment="1">
      <alignment horizontal="center"/>
    </xf>
    <xf numFmtId="183" fontId="4" fillId="5" borderId="36" xfId="0" applyNumberFormat="1" applyFont="1" applyFill="1" applyBorder="1" applyAlignment="1">
      <alignment horizontal="center"/>
    </xf>
    <xf numFmtId="183" fontId="4" fillId="6" borderId="59" xfId="0" applyNumberFormat="1" applyFont="1" applyFill="1" applyBorder="1" applyAlignment="1">
      <alignment horizontal="center"/>
    </xf>
    <xf numFmtId="3" fontId="4" fillId="6" borderId="60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6" borderId="23" xfId="0" applyNumberFormat="1" applyFont="1" applyFill="1" applyBorder="1" applyAlignment="1">
      <alignment horizontal="center"/>
    </xf>
    <xf numFmtId="14" fontId="4" fillId="6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8" borderId="3" xfId="0" applyFont="1" applyFill="1" applyBorder="1" applyAlignment="1">
      <alignment horizontal="left"/>
    </xf>
    <xf numFmtId="14" fontId="3" fillId="8" borderId="18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11" borderId="11" xfId="0" applyFont="1" applyFill="1" applyBorder="1" applyAlignment="1">
      <alignment horizontal="center" vertical="center"/>
    </xf>
    <xf numFmtId="0" fontId="3" fillId="11" borderId="36" xfId="0" applyFont="1" applyFill="1" applyBorder="1" applyAlignment="1">
      <alignment horizontal="center" vertical="center"/>
    </xf>
    <xf numFmtId="0" fontId="18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9" fillId="9" borderId="2" xfId="0" applyNumberFormat="1" applyFont="1" applyFill="1" applyBorder="1" applyAlignment="1">
      <alignment horizontal="center"/>
    </xf>
    <xf numFmtId="49" fontId="19" fillId="9" borderId="0" xfId="0" applyNumberFormat="1" applyFont="1" applyFill="1" applyBorder="1" applyAlignment="1">
      <alignment horizontal="center"/>
    </xf>
    <xf numFmtId="49" fontId="19" fillId="9" borderId="28" xfId="0" applyNumberFormat="1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4" xfId="0" applyFont="1" applyFill="1" applyBorder="1" applyAlignment="1">
      <alignment horizontal="center" vertical="center" textRotation="255"/>
    </xf>
    <xf numFmtId="1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11" borderId="34" xfId="0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 vertical="center" wrapText="1"/>
    </xf>
    <xf numFmtId="183" fontId="2" fillId="4" borderId="24" xfId="0" applyNumberFormat="1" applyFont="1" applyFill="1" applyBorder="1" applyAlignment="1">
      <alignment horizontal="center" vertical="center" wrapText="1"/>
    </xf>
    <xf numFmtId="183" fontId="9" fillId="0" borderId="19" xfId="0" applyNumberFormat="1" applyFont="1" applyBorder="1" applyAlignment="1">
      <alignment horizontal="center"/>
    </xf>
    <xf numFmtId="183" fontId="9" fillId="0" borderId="20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 vertical="center" wrapText="1"/>
    </xf>
    <xf numFmtId="183" fontId="2" fillId="0" borderId="19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9" fillId="3" borderId="3" xfId="0" applyNumberFormat="1" applyFont="1" applyFill="1" applyBorder="1" applyAlignment="1">
      <alignment horizontal="center"/>
    </xf>
    <xf numFmtId="183" fontId="9" fillId="3" borderId="4" xfId="0" applyNumberFormat="1" applyFont="1" applyFill="1" applyBorder="1" applyAlignment="1">
      <alignment horizontal="center"/>
    </xf>
    <xf numFmtId="183" fontId="2" fillId="0" borderId="26" xfId="0" applyNumberFormat="1" applyFont="1" applyBorder="1" applyAlignment="1">
      <alignment horizontal="center" wrapText="1"/>
    </xf>
    <xf numFmtId="183" fontId="2" fillId="0" borderId="62" xfId="0" applyNumberFormat="1" applyFont="1" applyBorder="1" applyAlignment="1">
      <alignment horizontal="center" wrapText="1"/>
    </xf>
    <xf numFmtId="183" fontId="2" fillId="0" borderId="63" xfId="0" applyNumberFormat="1" applyFont="1" applyBorder="1" applyAlignment="1">
      <alignment horizontal="center" wrapText="1"/>
    </xf>
    <xf numFmtId="183" fontId="2" fillId="0" borderId="47" xfId="0" applyNumberFormat="1" applyFont="1" applyBorder="1" applyAlignment="1">
      <alignment horizontal="center"/>
    </xf>
    <xf numFmtId="0" fontId="0" fillId="0" borderId="9" xfId="0" applyBorder="1"/>
    <xf numFmtId="183" fontId="2" fillId="0" borderId="49" xfId="0" applyNumberFormat="1" applyFont="1" applyBorder="1" applyAlignment="1">
      <alignment horizontal="center"/>
    </xf>
    <xf numFmtId="183" fontId="2" fillId="0" borderId="51" xfId="0" applyNumberFormat="1" applyFont="1" applyBorder="1" applyAlignment="1">
      <alignment horizontal="center"/>
    </xf>
    <xf numFmtId="183" fontId="5" fillId="4" borderId="38" xfId="0" applyNumberFormat="1" applyFont="1" applyFill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9" fillId="3" borderId="15" xfId="0" applyNumberFormat="1" applyFont="1" applyFill="1" applyBorder="1" applyAlignment="1">
      <alignment horizontal="center"/>
    </xf>
    <xf numFmtId="183" fontId="9" fillId="3" borderId="16" xfId="0" applyNumberFormat="1" applyFont="1" applyFill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7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7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F93" sqref="F9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72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1" t="s">
        <v>254</v>
      </c>
      <c r="P2" s="173"/>
      <c r="Q2" s="173"/>
      <c r="R2" s="173"/>
      <c r="S2" s="172"/>
    </row>
    <row r="3" spans="1:19" ht="12" customHeight="1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1" t="s">
        <v>255</v>
      </c>
      <c r="P3" s="313" t="s">
        <v>253</v>
      </c>
      <c r="Q3" s="314"/>
      <c r="R3" s="314"/>
      <c r="S3" s="172"/>
    </row>
    <row r="4" spans="1:19" ht="10.5" customHeight="1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1" t="s">
        <v>252</v>
      </c>
      <c r="P4" s="321">
        <f ca="1">TODAY()</f>
        <v>43712</v>
      </c>
      <c r="Q4" s="322"/>
      <c r="R4" s="322"/>
      <c r="S4" s="172"/>
    </row>
    <row r="5" spans="1:19" ht="11.1" customHeight="1">
      <c r="A5" s="315" t="s">
        <v>198</v>
      </c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7"/>
    </row>
    <row r="6" spans="1:19" s="3" customFormat="1" ht="6.95" customHeight="1">
      <c r="A6" s="22"/>
      <c r="B6" s="175" t="s">
        <v>0</v>
      </c>
      <c r="C6" s="176" t="s">
        <v>1</v>
      </c>
      <c r="D6" s="176" t="s">
        <v>2</v>
      </c>
      <c r="E6" s="177" t="s">
        <v>49</v>
      </c>
      <c r="F6" s="178" t="s">
        <v>17</v>
      </c>
      <c r="G6" s="179" t="s">
        <v>8</v>
      </c>
      <c r="H6" s="21" t="s">
        <v>3</v>
      </c>
      <c r="I6" s="19"/>
      <c r="J6" s="1"/>
      <c r="K6" s="1" t="s">
        <v>0</v>
      </c>
      <c r="L6" s="1" t="s">
        <v>174</v>
      </c>
      <c r="M6" s="200" t="s">
        <v>2</v>
      </c>
      <c r="N6" s="177" t="s">
        <v>49</v>
      </c>
      <c r="O6" s="201" t="s">
        <v>17</v>
      </c>
      <c r="P6" s="1" t="s">
        <v>14</v>
      </c>
      <c r="Q6" s="202" t="s">
        <v>15</v>
      </c>
      <c r="R6" s="203" t="s">
        <v>47</v>
      </c>
      <c r="S6" s="45" t="s">
        <v>3</v>
      </c>
    </row>
    <row r="7" spans="1:19" s="3" customFormat="1" ht="6.95" customHeight="1">
      <c r="A7" s="311" t="s">
        <v>193</v>
      </c>
      <c r="B7" s="219" t="s">
        <v>288</v>
      </c>
      <c r="C7" s="220">
        <v>44722</v>
      </c>
      <c r="D7" s="190" t="s">
        <v>9</v>
      </c>
      <c r="E7" s="191">
        <v>1.216</v>
      </c>
      <c r="F7" s="192">
        <v>-1.4000000000000012E-2</v>
      </c>
      <c r="G7" s="221">
        <v>7990000</v>
      </c>
      <c r="H7" s="225"/>
      <c r="I7" s="19"/>
      <c r="J7" s="318" t="s">
        <v>16</v>
      </c>
      <c r="K7" s="155" t="s">
        <v>318</v>
      </c>
      <c r="L7" s="184">
        <v>44410</v>
      </c>
      <c r="M7" s="156" t="s">
        <v>13</v>
      </c>
      <c r="N7" s="157">
        <v>1.2470000000000001</v>
      </c>
      <c r="O7" s="158">
        <v>-7.9999999999997851E-3</v>
      </c>
      <c r="P7" s="159" t="s">
        <v>329</v>
      </c>
      <c r="Q7" s="160">
        <v>1.18</v>
      </c>
      <c r="R7" s="161">
        <v>5500000</v>
      </c>
      <c r="S7" s="162"/>
    </row>
    <row r="8" spans="1:19" s="3" customFormat="1" ht="6.95" customHeight="1">
      <c r="A8" s="323"/>
      <c r="B8" s="149" t="s">
        <v>289</v>
      </c>
      <c r="C8" s="110">
        <v>44540</v>
      </c>
      <c r="D8" s="114" t="s">
        <v>9</v>
      </c>
      <c r="E8" s="82">
        <v>1.2470000000000001</v>
      </c>
      <c r="F8" s="53">
        <v>-1.2999999999999901E-2</v>
      </c>
      <c r="G8" s="197">
        <v>9943000</v>
      </c>
      <c r="H8" s="174"/>
      <c r="I8" s="19"/>
      <c r="J8" s="319"/>
      <c r="K8" s="84" t="s">
        <v>287</v>
      </c>
      <c r="L8" s="183">
        <v>44349</v>
      </c>
      <c r="M8" s="103" t="s">
        <v>5</v>
      </c>
      <c r="N8" s="82">
        <v>1.2549999999999999</v>
      </c>
      <c r="O8" s="152">
        <v>-5.0000000000001155E-3</v>
      </c>
      <c r="P8" s="180" t="s">
        <v>329</v>
      </c>
      <c r="Q8" s="181">
        <v>1.585</v>
      </c>
      <c r="R8" s="182">
        <v>11700000</v>
      </c>
      <c r="S8" s="120"/>
    </row>
    <row r="9" spans="1:19" s="3" customFormat="1" ht="6.95" customHeight="1">
      <c r="A9" s="323"/>
      <c r="B9" s="149" t="s">
        <v>205</v>
      </c>
      <c r="C9" s="110">
        <v>44357</v>
      </c>
      <c r="D9" s="114" t="s">
        <v>4</v>
      </c>
      <c r="E9" s="82">
        <v>1.242</v>
      </c>
      <c r="F9" s="53">
        <v>-1.2999999999999901E-2</v>
      </c>
      <c r="G9" s="197">
        <v>9469000</v>
      </c>
      <c r="H9" s="120" t="s">
        <v>164</v>
      </c>
      <c r="I9" s="19"/>
      <c r="J9" s="319"/>
      <c r="K9" s="84" t="s">
        <v>278</v>
      </c>
      <c r="L9" s="183">
        <v>44288</v>
      </c>
      <c r="M9" s="103" t="s">
        <v>9</v>
      </c>
      <c r="N9" s="82">
        <v>1.26</v>
      </c>
      <c r="O9" s="152">
        <v>0</v>
      </c>
      <c r="P9" s="180" t="s">
        <v>329</v>
      </c>
      <c r="Q9" s="181">
        <v>1.74</v>
      </c>
      <c r="R9" s="182">
        <v>13600000</v>
      </c>
      <c r="S9" s="120" t="s">
        <v>50</v>
      </c>
    </row>
    <row r="10" spans="1:19" s="3" customFormat="1" ht="6.95" customHeight="1">
      <c r="A10" s="323"/>
      <c r="B10" s="154" t="s">
        <v>188</v>
      </c>
      <c r="C10" s="101">
        <v>44175</v>
      </c>
      <c r="D10" s="103" t="s">
        <v>4</v>
      </c>
      <c r="E10" s="82">
        <v>1.2150000000000001</v>
      </c>
      <c r="F10" s="152">
        <v>6.0000000000000053E-3</v>
      </c>
      <c r="G10" s="153">
        <v>10595000</v>
      </c>
      <c r="H10" s="213">
        <v>-3.1000000000000139E-2</v>
      </c>
      <c r="I10" s="20"/>
      <c r="J10" s="319"/>
      <c r="K10" s="155" t="s">
        <v>274</v>
      </c>
      <c r="L10" s="184">
        <v>44229</v>
      </c>
      <c r="M10" s="156" t="s">
        <v>6</v>
      </c>
      <c r="N10" s="157">
        <v>1.254</v>
      </c>
      <c r="O10" s="158">
        <v>6.0000000000000053E-3</v>
      </c>
      <c r="P10" s="159" t="s">
        <v>329</v>
      </c>
      <c r="Q10" s="160">
        <v>1.81</v>
      </c>
      <c r="R10" s="161">
        <v>12950000</v>
      </c>
      <c r="S10" s="213">
        <v>2.200000000000002E-2</v>
      </c>
    </row>
    <row r="11" spans="1:19" s="3" customFormat="1" ht="6.95" customHeight="1">
      <c r="A11" s="323"/>
      <c r="B11" s="149" t="s">
        <v>181</v>
      </c>
      <c r="C11" s="101">
        <v>43992</v>
      </c>
      <c r="D11" s="103" t="s">
        <v>5</v>
      </c>
      <c r="E11" s="82">
        <v>1.1659999999999999</v>
      </c>
      <c r="F11" s="152">
        <v>4.9999999999998934E-3</v>
      </c>
      <c r="G11" s="153">
        <v>7539000</v>
      </c>
      <c r="H11" s="217"/>
      <c r="I11" s="20"/>
      <c r="J11" s="319"/>
      <c r="K11" s="84" t="s">
        <v>271</v>
      </c>
      <c r="L11" s="183">
        <v>44167</v>
      </c>
      <c r="M11" s="103" t="s">
        <v>5</v>
      </c>
      <c r="N11" s="82">
        <v>1.228</v>
      </c>
      <c r="O11" s="152">
        <v>4.9999999999998934E-3</v>
      </c>
      <c r="P11" s="180" t="s">
        <v>329</v>
      </c>
      <c r="Q11" s="181">
        <v>1.93</v>
      </c>
      <c r="R11" s="182">
        <v>10900000</v>
      </c>
      <c r="S11" s="120"/>
    </row>
    <row r="12" spans="1:19" s="3" customFormat="1" ht="6.95" customHeight="1">
      <c r="A12" s="323"/>
      <c r="B12" s="248" t="s">
        <v>179</v>
      </c>
      <c r="C12" s="186">
        <v>43809</v>
      </c>
      <c r="D12" s="187" t="s">
        <v>6</v>
      </c>
      <c r="E12" s="116">
        <v>1.198</v>
      </c>
      <c r="F12" s="188">
        <v>-2.0000000000000018E-3</v>
      </c>
      <c r="G12" s="189">
        <v>6599000</v>
      </c>
      <c r="H12" s="217"/>
      <c r="I12" s="20"/>
      <c r="J12" s="319"/>
      <c r="K12" s="84" t="s">
        <v>256</v>
      </c>
      <c r="L12" s="183">
        <v>44109</v>
      </c>
      <c r="M12" s="103" t="s">
        <v>13</v>
      </c>
      <c r="N12" s="82">
        <v>1.226</v>
      </c>
      <c r="O12" s="152">
        <v>4.9999999999998934E-3</v>
      </c>
      <c r="P12" s="180" t="s">
        <v>329</v>
      </c>
      <c r="Q12" s="181">
        <v>2.0499999999999998</v>
      </c>
      <c r="R12" s="182">
        <v>11320000</v>
      </c>
      <c r="S12" s="120" t="s">
        <v>51</v>
      </c>
    </row>
    <row r="13" spans="1:19" s="3" customFormat="1" ht="6.95" customHeight="1">
      <c r="A13" s="302" t="s">
        <v>257</v>
      </c>
      <c r="B13" s="254" t="s">
        <v>304</v>
      </c>
      <c r="C13" s="259">
        <v>45545</v>
      </c>
      <c r="D13" s="260" t="s">
        <v>6</v>
      </c>
      <c r="E13" s="261">
        <v>1.2549999999999999</v>
      </c>
      <c r="F13" s="262">
        <v>-2.0000000000000018E-2</v>
      </c>
      <c r="G13" s="263">
        <v>2634000</v>
      </c>
      <c r="H13" s="198"/>
      <c r="I13" s="8"/>
      <c r="J13" s="319"/>
      <c r="K13" s="155" t="s">
        <v>214</v>
      </c>
      <c r="L13" s="184">
        <v>44045</v>
      </c>
      <c r="M13" s="156" t="s">
        <v>11</v>
      </c>
      <c r="N13" s="157">
        <v>1.2250000000000001</v>
      </c>
      <c r="O13" s="158">
        <v>5.0000000000001155E-3</v>
      </c>
      <c r="P13" s="159" t="s">
        <v>329</v>
      </c>
      <c r="Q13" s="160">
        <v>2.06</v>
      </c>
      <c r="R13" s="161">
        <v>10690000</v>
      </c>
      <c r="S13" s="213">
        <v>-6.9999999999998952E-3</v>
      </c>
    </row>
    <row r="14" spans="1:19" s="3" customFormat="1" ht="6.95" customHeight="1">
      <c r="A14" s="303"/>
      <c r="B14" s="219" t="s">
        <v>305</v>
      </c>
      <c r="C14" s="220">
        <v>45361</v>
      </c>
      <c r="D14" s="190" t="s">
        <v>11</v>
      </c>
      <c r="E14" s="191">
        <v>1.2769999999999999</v>
      </c>
      <c r="F14" s="192">
        <v>-2.0000000000000018E-2</v>
      </c>
      <c r="G14" s="221">
        <v>10675000</v>
      </c>
      <c r="H14" s="94" t="s">
        <v>163</v>
      </c>
      <c r="I14" s="8"/>
      <c r="J14" s="319"/>
      <c r="K14" s="84" t="s">
        <v>302</v>
      </c>
      <c r="L14" s="183">
        <v>44021</v>
      </c>
      <c r="M14" s="103" t="s">
        <v>4</v>
      </c>
      <c r="N14" s="82">
        <v>1.21</v>
      </c>
      <c r="O14" s="152">
        <v>2.9999999999998916E-3</v>
      </c>
      <c r="P14" s="180" t="s">
        <v>329</v>
      </c>
      <c r="Q14" s="181">
        <v>1.48</v>
      </c>
      <c r="R14" s="182">
        <v>4550000</v>
      </c>
      <c r="S14" s="163"/>
    </row>
    <row r="15" spans="1:19" s="3" customFormat="1" ht="6.95" customHeight="1">
      <c r="A15" s="303"/>
      <c r="B15" s="154" t="s">
        <v>248</v>
      </c>
      <c r="C15" s="101">
        <v>45179</v>
      </c>
      <c r="D15" s="103" t="s">
        <v>11</v>
      </c>
      <c r="E15" s="82">
        <v>1.28</v>
      </c>
      <c r="F15" s="152">
        <v>-1.8000000000000016E-2</v>
      </c>
      <c r="G15" s="153">
        <v>7342000</v>
      </c>
      <c r="H15" s="214">
        <v>6.0999999999999943E-2</v>
      </c>
      <c r="I15" s="8"/>
      <c r="J15" s="319"/>
      <c r="K15" s="84" t="s">
        <v>204</v>
      </c>
      <c r="L15" s="183">
        <v>43984</v>
      </c>
      <c r="M15" s="103" t="s">
        <v>6</v>
      </c>
      <c r="N15" s="82">
        <v>1.1779999999999999</v>
      </c>
      <c r="O15" s="152">
        <v>4.9999999999998934E-3</v>
      </c>
      <c r="P15" s="180" t="s">
        <v>329</v>
      </c>
      <c r="Q15" s="181">
        <v>2.14</v>
      </c>
      <c r="R15" s="182">
        <v>12020000</v>
      </c>
      <c r="S15" s="120"/>
    </row>
    <row r="16" spans="1:19" s="3" customFormat="1" ht="6.95" customHeight="1">
      <c r="A16" s="303"/>
      <c r="B16" s="14" t="s">
        <v>213</v>
      </c>
      <c r="C16" s="101">
        <v>44995</v>
      </c>
      <c r="D16" s="103" t="s">
        <v>9</v>
      </c>
      <c r="E16" s="82">
        <v>1.2729999999999999</v>
      </c>
      <c r="F16" s="152">
        <v>-1.7000000000000126E-2</v>
      </c>
      <c r="G16" s="153">
        <v>12566000</v>
      </c>
      <c r="H16" s="94"/>
      <c r="I16" s="9"/>
      <c r="J16" s="319"/>
      <c r="K16" s="84" t="s">
        <v>282</v>
      </c>
      <c r="L16" s="183">
        <v>43960</v>
      </c>
      <c r="M16" s="103" t="s">
        <v>10</v>
      </c>
      <c r="N16" s="82">
        <v>1.1970000000000001</v>
      </c>
      <c r="O16" s="152">
        <v>2.0000000000000018E-3</v>
      </c>
      <c r="P16" s="180" t="s">
        <v>329</v>
      </c>
      <c r="Q16" s="181">
        <v>1.7150000000000001</v>
      </c>
      <c r="R16" s="182">
        <v>5100000</v>
      </c>
      <c r="S16" s="120" t="s">
        <v>52</v>
      </c>
    </row>
    <row r="17" spans="1:19" ht="6.95" customHeight="1">
      <c r="A17" s="303"/>
      <c r="B17" s="14" t="s">
        <v>212</v>
      </c>
      <c r="C17" s="101">
        <v>44814</v>
      </c>
      <c r="D17" s="103" t="s">
        <v>10</v>
      </c>
      <c r="E17" s="82">
        <v>1.264</v>
      </c>
      <c r="F17" s="152">
        <v>-1.0999999999999899E-2</v>
      </c>
      <c r="G17" s="153">
        <v>9626000</v>
      </c>
      <c r="H17" s="94" t="s">
        <v>124</v>
      </c>
      <c r="I17" s="5"/>
      <c r="J17" s="319"/>
      <c r="K17" s="84" t="s">
        <v>199</v>
      </c>
      <c r="L17" s="183">
        <v>43923</v>
      </c>
      <c r="M17" s="103" t="s">
        <v>4</v>
      </c>
      <c r="N17" s="82">
        <v>1.177</v>
      </c>
      <c r="O17" s="152">
        <v>1.0000000000001119E-3</v>
      </c>
      <c r="P17" s="180" t="s">
        <v>329</v>
      </c>
      <c r="Q17" s="181">
        <v>2.12</v>
      </c>
      <c r="R17" s="182">
        <v>11590000</v>
      </c>
      <c r="S17" s="213">
        <v>2.8999999999999915E-2</v>
      </c>
    </row>
    <row r="18" spans="1:19" ht="6.95" customHeight="1">
      <c r="A18" s="303"/>
      <c r="B18" s="130" t="s">
        <v>211</v>
      </c>
      <c r="C18" s="101">
        <v>44630</v>
      </c>
      <c r="D18" s="103" t="s">
        <v>4</v>
      </c>
      <c r="E18" s="82">
        <v>1.25</v>
      </c>
      <c r="F18" s="152">
        <v>-1.0000000000000009E-2</v>
      </c>
      <c r="G18" s="153">
        <v>13346000</v>
      </c>
      <c r="H18" s="121">
        <v>2.9999999999999805E-2</v>
      </c>
      <c r="I18" s="5"/>
      <c r="J18" s="319"/>
      <c r="K18" s="84" t="s">
        <v>276</v>
      </c>
      <c r="L18" s="183">
        <v>43899</v>
      </c>
      <c r="M18" s="103" t="s">
        <v>13</v>
      </c>
      <c r="N18" s="82">
        <v>1.2050000000000001</v>
      </c>
      <c r="O18" s="152">
        <v>0</v>
      </c>
      <c r="P18" s="180" t="s">
        <v>329</v>
      </c>
      <c r="Q18" s="181">
        <v>1.83</v>
      </c>
      <c r="R18" s="182">
        <v>5850000</v>
      </c>
      <c r="S18" s="120"/>
    </row>
    <row r="19" spans="1:19" ht="6.95" customHeight="1">
      <c r="A19" s="303"/>
      <c r="B19" s="185" t="s">
        <v>210</v>
      </c>
      <c r="C19" s="101">
        <v>44449</v>
      </c>
      <c r="D19" s="103" t="s">
        <v>9</v>
      </c>
      <c r="E19" s="82">
        <v>1.244</v>
      </c>
      <c r="F19" s="152">
        <v>-1.2999999999999901E-2</v>
      </c>
      <c r="G19" s="153">
        <v>9553000</v>
      </c>
      <c r="H19" s="255"/>
      <c r="I19" s="5"/>
      <c r="J19" s="319"/>
      <c r="K19" s="84" t="s">
        <v>325</v>
      </c>
      <c r="L19" s="183">
        <v>43893</v>
      </c>
      <c r="M19" s="103" t="s">
        <v>6</v>
      </c>
      <c r="N19" s="82">
        <v>1.204</v>
      </c>
      <c r="O19" s="152">
        <v>9.9999999999988987E-4</v>
      </c>
      <c r="P19" s="180" t="s">
        <v>7</v>
      </c>
      <c r="Q19" s="181">
        <v>1.1930000000000001</v>
      </c>
      <c r="R19" s="182">
        <v>300000</v>
      </c>
      <c r="S19" s="120"/>
    </row>
    <row r="20" spans="1:19" ht="6.95" customHeight="1">
      <c r="A20" s="303"/>
      <c r="B20" s="185" t="s">
        <v>209</v>
      </c>
      <c r="C20" s="101">
        <v>44265</v>
      </c>
      <c r="D20" s="103" t="s">
        <v>5</v>
      </c>
      <c r="E20" s="82">
        <v>1.218</v>
      </c>
      <c r="F20" s="152">
        <v>2.0000000000000018E-3</v>
      </c>
      <c r="G20" s="153">
        <v>12879000</v>
      </c>
      <c r="H20" s="255"/>
      <c r="I20" s="6"/>
      <c r="J20" s="319"/>
      <c r="K20" s="84" t="s">
        <v>321</v>
      </c>
      <c r="L20" s="183">
        <v>43879</v>
      </c>
      <c r="M20" s="103" t="s">
        <v>6</v>
      </c>
      <c r="N20" s="82">
        <v>1.2050000000000001</v>
      </c>
      <c r="O20" s="152">
        <v>0</v>
      </c>
      <c r="P20" s="180" t="s">
        <v>7</v>
      </c>
      <c r="Q20" s="181">
        <v>1.1830000000000001</v>
      </c>
      <c r="R20" s="182">
        <v>300000</v>
      </c>
      <c r="S20" s="120"/>
    </row>
    <row r="21" spans="1:19" ht="6.95" customHeight="1">
      <c r="A21" s="303"/>
      <c r="B21" s="185" t="s">
        <v>208</v>
      </c>
      <c r="C21" s="101">
        <v>44084</v>
      </c>
      <c r="D21" s="103" t="s">
        <v>4</v>
      </c>
      <c r="E21" s="82">
        <v>1.1950000000000001</v>
      </c>
      <c r="F21" s="152">
        <v>5.0000000000001155E-3</v>
      </c>
      <c r="G21" s="153">
        <v>12033000</v>
      </c>
      <c r="H21" s="255"/>
      <c r="I21" s="5"/>
      <c r="J21" s="319"/>
      <c r="K21" s="155" t="s">
        <v>316</v>
      </c>
      <c r="L21" s="184">
        <v>43865</v>
      </c>
      <c r="M21" s="156" t="s">
        <v>6</v>
      </c>
      <c r="N21" s="157">
        <v>1.2150000000000001</v>
      </c>
      <c r="O21" s="158">
        <v>0</v>
      </c>
      <c r="P21" s="159" t="s">
        <v>7</v>
      </c>
      <c r="Q21" s="160">
        <v>1.2909999999999999</v>
      </c>
      <c r="R21" s="161">
        <v>300000</v>
      </c>
      <c r="S21" s="120"/>
    </row>
    <row r="22" spans="1:19" ht="6.95" customHeight="1">
      <c r="A22" s="303"/>
      <c r="B22" s="130" t="s">
        <v>207</v>
      </c>
      <c r="C22" s="101">
        <v>43900</v>
      </c>
      <c r="D22" s="103" t="s">
        <v>6</v>
      </c>
      <c r="E22" s="82">
        <v>1.1679999999999999</v>
      </c>
      <c r="F22" s="152">
        <v>0</v>
      </c>
      <c r="G22" s="153">
        <v>7717000</v>
      </c>
      <c r="H22" s="242"/>
      <c r="I22" s="6"/>
      <c r="J22" s="319"/>
      <c r="K22" s="84" t="s">
        <v>196</v>
      </c>
      <c r="L22" s="183">
        <v>43863</v>
      </c>
      <c r="M22" s="103" t="s">
        <v>11</v>
      </c>
      <c r="N22" s="82">
        <v>1.202</v>
      </c>
      <c r="O22" s="152">
        <v>9.9999999999988987E-4</v>
      </c>
      <c r="P22" s="180" t="s">
        <v>329</v>
      </c>
      <c r="Q22" s="181">
        <v>2.16</v>
      </c>
      <c r="R22" s="182">
        <v>9460000</v>
      </c>
      <c r="S22" s="218"/>
    </row>
    <row r="23" spans="1:19" ht="6.95" customHeight="1">
      <c r="A23" s="304"/>
      <c r="B23" s="256" t="s">
        <v>206</v>
      </c>
      <c r="C23" s="232">
        <v>43718</v>
      </c>
      <c r="D23" s="257" t="s">
        <v>6</v>
      </c>
      <c r="E23" s="83">
        <v>1.2470000000000001</v>
      </c>
      <c r="F23" s="236">
        <v>0</v>
      </c>
      <c r="G23" s="233">
        <v>8734000</v>
      </c>
      <c r="H23" s="258"/>
      <c r="I23" s="5"/>
      <c r="J23" s="319"/>
      <c r="K23" s="84" t="s">
        <v>309</v>
      </c>
      <c r="L23" s="183">
        <v>43844</v>
      </c>
      <c r="M23" s="103" t="s">
        <v>6</v>
      </c>
      <c r="N23" s="82">
        <v>1.2230000000000001</v>
      </c>
      <c r="O23" s="152">
        <v>0</v>
      </c>
      <c r="P23" s="180" t="s">
        <v>7</v>
      </c>
      <c r="Q23" s="181">
        <v>1.46</v>
      </c>
      <c r="R23" s="182">
        <v>300000</v>
      </c>
      <c r="S23" s="218"/>
    </row>
    <row r="24" spans="1:19" ht="6.95" customHeight="1">
      <c r="A24" s="303" t="s">
        <v>178</v>
      </c>
      <c r="B24" s="230" t="s">
        <v>290</v>
      </c>
      <c r="C24" s="249">
        <v>47279</v>
      </c>
      <c r="D24" s="250" t="s">
        <v>11</v>
      </c>
      <c r="E24" s="251">
        <v>1.32</v>
      </c>
      <c r="F24" s="252">
        <v>-2.4999999999999911E-2</v>
      </c>
      <c r="G24" s="253">
        <v>8343000</v>
      </c>
      <c r="H24" s="134"/>
      <c r="I24" s="8"/>
      <c r="J24" s="319"/>
      <c r="K24" s="84" t="s">
        <v>273</v>
      </c>
      <c r="L24" s="183">
        <v>43839</v>
      </c>
      <c r="M24" s="103" t="s">
        <v>4</v>
      </c>
      <c r="N24" s="82">
        <v>1.23</v>
      </c>
      <c r="O24" s="152">
        <v>0</v>
      </c>
      <c r="P24" s="180" t="s">
        <v>329</v>
      </c>
      <c r="Q24" s="181">
        <v>1.82</v>
      </c>
      <c r="R24" s="182">
        <v>5180000</v>
      </c>
      <c r="S24" s="120"/>
    </row>
    <row r="25" spans="1:19" ht="6.95" customHeight="1">
      <c r="A25" s="303"/>
      <c r="B25" s="14" t="s">
        <v>291</v>
      </c>
      <c r="C25" s="101">
        <v>47097</v>
      </c>
      <c r="D25" s="234" t="s">
        <v>11</v>
      </c>
      <c r="E25" s="82">
        <v>1.325</v>
      </c>
      <c r="F25" s="152">
        <v>-2.6000000000000023E-2</v>
      </c>
      <c r="G25" s="153">
        <v>11424000</v>
      </c>
      <c r="H25" s="120" t="s">
        <v>200</v>
      </c>
      <c r="I25" s="8"/>
      <c r="J25" s="319"/>
      <c r="K25" s="84" t="s">
        <v>300</v>
      </c>
      <c r="L25" s="183">
        <v>43830</v>
      </c>
      <c r="M25" s="103" t="s">
        <v>6</v>
      </c>
      <c r="N25" s="82">
        <v>1.24</v>
      </c>
      <c r="O25" s="152">
        <v>0</v>
      </c>
      <c r="P25" s="180" t="s">
        <v>7</v>
      </c>
      <c r="Q25" s="181">
        <v>1.528</v>
      </c>
      <c r="R25" s="182">
        <v>300000</v>
      </c>
      <c r="S25" s="120"/>
    </row>
    <row r="26" spans="1:19" ht="6.95" customHeight="1">
      <c r="A26" s="303"/>
      <c r="B26" s="14" t="s">
        <v>272</v>
      </c>
      <c r="C26" s="101">
        <v>46914</v>
      </c>
      <c r="D26" s="234" t="s">
        <v>10</v>
      </c>
      <c r="E26" s="82">
        <v>1.325</v>
      </c>
      <c r="F26" s="152">
        <v>-2.6000000000000023E-2</v>
      </c>
      <c r="G26" s="153">
        <v>11437000</v>
      </c>
      <c r="H26" s="276">
        <v>4.3000000000000149E-2</v>
      </c>
      <c r="I26" s="8"/>
      <c r="J26" s="319"/>
      <c r="K26" s="84" t="s">
        <v>295</v>
      </c>
      <c r="L26" s="183">
        <v>43816</v>
      </c>
      <c r="M26" s="103" t="s">
        <v>6</v>
      </c>
      <c r="N26" s="82">
        <v>1.2450000000000001</v>
      </c>
      <c r="O26" s="152">
        <v>0</v>
      </c>
      <c r="P26" s="180" t="s">
        <v>7</v>
      </c>
      <c r="Q26" s="181">
        <v>1.528</v>
      </c>
      <c r="R26" s="182">
        <v>300000</v>
      </c>
      <c r="S26" s="120"/>
    </row>
    <row r="27" spans="1:19" ht="6.95" customHeight="1">
      <c r="A27" s="303"/>
      <c r="B27" s="14" t="s">
        <v>227</v>
      </c>
      <c r="C27" s="101">
        <v>46731</v>
      </c>
      <c r="D27" s="234" t="s">
        <v>9</v>
      </c>
      <c r="E27" s="82">
        <v>1.3220000000000001</v>
      </c>
      <c r="F27" s="152">
        <v>-2.6000000000000023E-2</v>
      </c>
      <c r="G27" s="153">
        <v>11903000</v>
      </c>
      <c r="H27" s="120"/>
      <c r="I27" s="9"/>
      <c r="J27" s="319"/>
      <c r="K27" s="84" t="s">
        <v>285</v>
      </c>
      <c r="L27" s="183">
        <v>43802</v>
      </c>
      <c r="M27" s="103" t="s">
        <v>6</v>
      </c>
      <c r="N27" s="82">
        <v>1.25</v>
      </c>
      <c r="O27" s="152">
        <v>0</v>
      </c>
      <c r="P27" s="180" t="s">
        <v>7</v>
      </c>
      <c r="Q27" s="181">
        <v>1.607</v>
      </c>
      <c r="R27" s="182">
        <v>300000</v>
      </c>
      <c r="S27" s="120"/>
    </row>
    <row r="28" spans="1:19" ht="6.95" customHeight="1">
      <c r="A28" s="303"/>
      <c r="B28" s="14" t="s">
        <v>228</v>
      </c>
      <c r="C28" s="101">
        <v>46548</v>
      </c>
      <c r="D28" s="234" t="s">
        <v>4</v>
      </c>
      <c r="E28" s="82">
        <v>1.3169999999999999</v>
      </c>
      <c r="F28" s="152">
        <v>-2.5000000000000133E-2</v>
      </c>
      <c r="G28" s="153">
        <v>12572000</v>
      </c>
      <c r="H28" s="120" t="s">
        <v>201</v>
      </c>
      <c r="I28" s="8"/>
      <c r="J28" s="319"/>
      <c r="K28" s="84" t="s">
        <v>326</v>
      </c>
      <c r="L28" s="183">
        <v>43802</v>
      </c>
      <c r="M28" s="103" t="s">
        <v>6</v>
      </c>
      <c r="N28" s="82">
        <v>1.266</v>
      </c>
      <c r="O28" s="152">
        <v>0</v>
      </c>
      <c r="P28" s="180" t="s">
        <v>7</v>
      </c>
      <c r="Q28" s="181">
        <v>1.266</v>
      </c>
      <c r="R28" s="182">
        <v>800000</v>
      </c>
      <c r="S28" s="120"/>
    </row>
    <row r="29" spans="1:19" ht="6.95" customHeight="1">
      <c r="A29" s="303"/>
      <c r="B29" s="14" t="s">
        <v>229</v>
      </c>
      <c r="C29" s="101">
        <v>46366</v>
      </c>
      <c r="D29" s="234" t="s">
        <v>4</v>
      </c>
      <c r="E29" s="82">
        <v>1.3120000000000001</v>
      </c>
      <c r="F29" s="152">
        <v>-2.4000000000000021E-2</v>
      </c>
      <c r="G29" s="153">
        <v>13063000</v>
      </c>
      <c r="H29" s="276">
        <v>0.10400000000000009</v>
      </c>
      <c r="I29" s="9"/>
      <c r="J29" s="319"/>
      <c r="K29" s="84" t="s">
        <v>192</v>
      </c>
      <c r="L29" s="183">
        <v>43801</v>
      </c>
      <c r="M29" s="103" t="s">
        <v>13</v>
      </c>
      <c r="N29" s="82">
        <v>1.2509999999999999</v>
      </c>
      <c r="O29" s="152">
        <v>0</v>
      </c>
      <c r="P29" s="180" t="s">
        <v>329</v>
      </c>
      <c r="Q29" s="181">
        <v>2.06</v>
      </c>
      <c r="R29" s="182">
        <v>10330000</v>
      </c>
      <c r="S29" s="120"/>
    </row>
    <row r="30" spans="1:19" ht="6.95" customHeight="1">
      <c r="A30" s="303"/>
      <c r="B30" s="14" t="s">
        <v>230</v>
      </c>
      <c r="C30" s="101">
        <v>46183</v>
      </c>
      <c r="D30" s="234" t="s">
        <v>5</v>
      </c>
      <c r="E30" s="82">
        <v>1.3080000000000001</v>
      </c>
      <c r="F30" s="152">
        <v>-2.2999999999999909E-2</v>
      </c>
      <c r="G30" s="153">
        <v>12212000</v>
      </c>
      <c r="H30" s="120"/>
      <c r="I30" s="8"/>
      <c r="J30" s="319"/>
      <c r="K30" s="84" t="s">
        <v>324</v>
      </c>
      <c r="L30" s="183">
        <v>43795</v>
      </c>
      <c r="M30" s="103" t="s">
        <v>6</v>
      </c>
      <c r="N30" s="82">
        <v>1.278</v>
      </c>
      <c r="O30" s="152">
        <v>0</v>
      </c>
      <c r="P30" s="180" t="s">
        <v>7</v>
      </c>
      <c r="Q30" s="181">
        <v>1.266</v>
      </c>
      <c r="R30" s="182">
        <v>800000</v>
      </c>
      <c r="S30" s="120"/>
    </row>
    <row r="31" spans="1:19" ht="6.95" customHeight="1">
      <c r="A31" s="303"/>
      <c r="B31" s="14" t="s">
        <v>231</v>
      </c>
      <c r="C31" s="101">
        <v>46001</v>
      </c>
      <c r="D31" s="234" t="s">
        <v>5</v>
      </c>
      <c r="E31" s="82">
        <v>1.3009999999999999</v>
      </c>
      <c r="F31" s="152">
        <v>-2.200000000000002E-2</v>
      </c>
      <c r="G31" s="153">
        <v>12790012</v>
      </c>
      <c r="H31" s="120" t="s">
        <v>202</v>
      </c>
      <c r="I31" s="7"/>
      <c r="J31" s="319"/>
      <c r="K31" s="155" t="s">
        <v>283</v>
      </c>
      <c r="L31" s="184">
        <v>43788</v>
      </c>
      <c r="M31" s="156" t="s">
        <v>6</v>
      </c>
      <c r="N31" s="157">
        <v>1.2649999999999999</v>
      </c>
      <c r="O31" s="158">
        <v>0</v>
      </c>
      <c r="P31" s="159" t="s">
        <v>7</v>
      </c>
      <c r="Q31" s="160">
        <v>1.637</v>
      </c>
      <c r="R31" s="161">
        <v>300000</v>
      </c>
      <c r="S31" s="120"/>
    </row>
    <row r="32" spans="1:19" ht="6.95" customHeight="1">
      <c r="A32" s="303"/>
      <c r="B32" s="149" t="s">
        <v>232</v>
      </c>
      <c r="C32" s="101">
        <v>45818</v>
      </c>
      <c r="D32" s="234" t="s">
        <v>6</v>
      </c>
      <c r="E32" s="82">
        <v>1.2949999999999999</v>
      </c>
      <c r="F32" s="152">
        <v>-2.200000000000002E-2</v>
      </c>
      <c r="G32" s="153">
        <v>15028000</v>
      </c>
      <c r="H32" s="213">
        <v>7.2999999999999954E-2</v>
      </c>
      <c r="I32" s="7"/>
      <c r="J32" s="319"/>
      <c r="K32" s="84" t="s">
        <v>322</v>
      </c>
      <c r="L32" s="183">
        <v>43788</v>
      </c>
      <c r="M32" s="103" t="s">
        <v>6</v>
      </c>
      <c r="N32" s="82">
        <v>1.2649999999999999</v>
      </c>
      <c r="O32" s="152">
        <v>0</v>
      </c>
      <c r="P32" s="180" t="s">
        <v>7</v>
      </c>
      <c r="Q32" s="181">
        <v>1.266</v>
      </c>
      <c r="R32" s="182">
        <v>900000</v>
      </c>
      <c r="S32" s="120"/>
    </row>
    <row r="33" spans="1:19" ht="6.95" customHeight="1">
      <c r="A33" s="303"/>
      <c r="B33" s="14" t="s">
        <v>233</v>
      </c>
      <c r="C33" s="101">
        <v>45545</v>
      </c>
      <c r="D33" s="234" t="s">
        <v>6</v>
      </c>
      <c r="E33" s="82">
        <v>1.292</v>
      </c>
      <c r="F33" s="152">
        <v>-2.0000000000000018E-2</v>
      </c>
      <c r="G33" s="153">
        <v>16366030</v>
      </c>
      <c r="H33" s="265"/>
      <c r="I33" s="7"/>
      <c r="J33" s="319"/>
      <c r="K33" s="84" t="s">
        <v>320</v>
      </c>
      <c r="L33" s="183">
        <v>43781</v>
      </c>
      <c r="M33" s="103" t="s">
        <v>6</v>
      </c>
      <c r="N33" s="82">
        <v>1.268</v>
      </c>
      <c r="O33" s="152">
        <v>0</v>
      </c>
      <c r="P33" s="180" t="s">
        <v>7</v>
      </c>
      <c r="Q33" s="181">
        <v>1.2769999999999999</v>
      </c>
      <c r="R33" s="182">
        <v>900000</v>
      </c>
      <c r="S33" s="120"/>
    </row>
    <row r="34" spans="1:19" ht="6.95" customHeight="1">
      <c r="A34" s="303"/>
      <c r="B34" s="14" t="s">
        <v>234</v>
      </c>
      <c r="C34" s="101">
        <v>45361</v>
      </c>
      <c r="D34" s="234" t="s">
        <v>11</v>
      </c>
      <c r="E34" s="82">
        <v>1.2889999999999999</v>
      </c>
      <c r="F34" s="152">
        <v>-2.0000000000000018E-2</v>
      </c>
      <c r="G34" s="153">
        <v>13194001</v>
      </c>
      <c r="H34" s="265"/>
      <c r="I34" s="7"/>
      <c r="J34" s="319"/>
      <c r="K34" s="84" t="s">
        <v>270</v>
      </c>
      <c r="L34" s="183">
        <v>43778</v>
      </c>
      <c r="M34" s="103" t="s">
        <v>10</v>
      </c>
      <c r="N34" s="82">
        <v>1.268</v>
      </c>
      <c r="O34" s="152">
        <v>0</v>
      </c>
      <c r="P34" s="180" t="s">
        <v>329</v>
      </c>
      <c r="Q34" s="181">
        <v>1.87</v>
      </c>
      <c r="R34" s="182">
        <v>3960000</v>
      </c>
      <c r="S34" s="120"/>
    </row>
    <row r="35" spans="1:19" ht="6.95" customHeight="1">
      <c r="A35" s="303"/>
      <c r="B35" s="14" t="s">
        <v>235</v>
      </c>
      <c r="C35" s="101">
        <v>45179</v>
      </c>
      <c r="D35" s="234" t="s">
        <v>11</v>
      </c>
      <c r="E35" s="82">
        <v>1.2809999999999999</v>
      </c>
      <c r="F35" s="152">
        <v>-1.9000000000000128E-2</v>
      </c>
      <c r="G35" s="153">
        <v>12430026</v>
      </c>
      <c r="H35" s="265"/>
      <c r="I35" s="7"/>
      <c r="J35" s="319"/>
      <c r="K35" s="84" t="s">
        <v>281</v>
      </c>
      <c r="L35" s="183">
        <v>43774</v>
      </c>
      <c r="M35" s="103" t="s">
        <v>6</v>
      </c>
      <c r="N35" s="82">
        <v>1.28</v>
      </c>
      <c r="O35" s="152">
        <v>0</v>
      </c>
      <c r="P35" s="180" t="s">
        <v>7</v>
      </c>
      <c r="Q35" s="181">
        <v>1.716</v>
      </c>
      <c r="R35" s="182">
        <v>300000</v>
      </c>
      <c r="S35" s="120"/>
    </row>
    <row r="36" spans="1:19" ht="6.95" customHeight="1">
      <c r="A36" s="303"/>
      <c r="B36" s="14" t="s">
        <v>236</v>
      </c>
      <c r="C36" s="101">
        <v>44995</v>
      </c>
      <c r="D36" s="234" t="s">
        <v>9</v>
      </c>
      <c r="E36" s="82">
        <v>1.276</v>
      </c>
      <c r="F36" s="152">
        <v>-1.8000000000000016E-2</v>
      </c>
      <c r="G36" s="153">
        <v>12262020</v>
      </c>
      <c r="H36" s="265"/>
      <c r="I36" s="7"/>
      <c r="J36" s="319"/>
      <c r="K36" s="84" t="s">
        <v>317</v>
      </c>
      <c r="L36" s="183">
        <v>43774</v>
      </c>
      <c r="M36" s="103" t="s">
        <v>6</v>
      </c>
      <c r="N36" s="82">
        <v>1.28</v>
      </c>
      <c r="O36" s="152">
        <v>0</v>
      </c>
      <c r="P36" s="180" t="s">
        <v>7</v>
      </c>
      <c r="Q36" s="181">
        <v>1.3360000000000001</v>
      </c>
      <c r="R36" s="182">
        <v>900000</v>
      </c>
      <c r="S36" s="120"/>
    </row>
    <row r="37" spans="1:19" ht="6.95" customHeight="1">
      <c r="A37" s="303"/>
      <c r="B37" s="14" t="s">
        <v>237</v>
      </c>
      <c r="C37" s="101">
        <v>44722</v>
      </c>
      <c r="D37" s="234" t="s">
        <v>9</v>
      </c>
      <c r="E37" s="82">
        <v>1.2569999999999999</v>
      </c>
      <c r="F37" s="152">
        <v>-1.1000000000000121E-2</v>
      </c>
      <c r="G37" s="153">
        <v>15281500</v>
      </c>
      <c r="H37" s="265"/>
      <c r="I37" s="7"/>
      <c r="J37" s="319"/>
      <c r="K37" s="84" t="s">
        <v>313</v>
      </c>
      <c r="L37" s="183">
        <v>43767</v>
      </c>
      <c r="M37" s="103" t="s">
        <v>6</v>
      </c>
      <c r="N37" s="82">
        <v>1.28</v>
      </c>
      <c r="O37" s="152">
        <v>0</v>
      </c>
      <c r="P37" s="180" t="s">
        <v>7</v>
      </c>
      <c r="Q37" s="181">
        <v>1.415</v>
      </c>
      <c r="R37" s="182">
        <v>700000</v>
      </c>
      <c r="S37" s="120"/>
    </row>
    <row r="38" spans="1:19" ht="6.95" customHeight="1">
      <c r="A38" s="303"/>
      <c r="B38" s="14" t="s">
        <v>238</v>
      </c>
      <c r="C38" s="101">
        <v>44357</v>
      </c>
      <c r="D38" s="234" t="s">
        <v>4</v>
      </c>
      <c r="E38" s="82">
        <v>1.222</v>
      </c>
      <c r="F38" s="152">
        <v>-1.3000000000000123E-2</v>
      </c>
      <c r="G38" s="153">
        <v>17285959</v>
      </c>
      <c r="H38" s="265"/>
      <c r="I38" s="7"/>
      <c r="J38" s="319"/>
      <c r="K38" s="84" t="s">
        <v>311</v>
      </c>
      <c r="L38" s="183">
        <v>43760</v>
      </c>
      <c r="M38" s="103" t="s">
        <v>6</v>
      </c>
      <c r="N38" s="82">
        <v>1.28</v>
      </c>
      <c r="O38" s="152">
        <v>0</v>
      </c>
      <c r="P38" s="180" t="s">
        <v>7</v>
      </c>
      <c r="Q38" s="181">
        <v>1.4850000000000001</v>
      </c>
      <c r="R38" s="182">
        <v>800000</v>
      </c>
      <c r="S38" s="120"/>
    </row>
    <row r="39" spans="1:19" ht="6.95" customHeight="1">
      <c r="A39" s="303"/>
      <c r="B39" s="226" t="s">
        <v>258</v>
      </c>
      <c r="C39" s="186">
        <v>43992</v>
      </c>
      <c r="D39" s="238" t="s">
        <v>5</v>
      </c>
      <c r="E39" s="116">
        <v>1.1100000000000001</v>
      </c>
      <c r="F39" s="188">
        <v>5.0000000000001155E-3</v>
      </c>
      <c r="G39" s="189">
        <v>11863000</v>
      </c>
      <c r="H39" s="266"/>
      <c r="I39" s="7"/>
      <c r="J39" s="319"/>
      <c r="K39" s="84" t="s">
        <v>280</v>
      </c>
      <c r="L39" s="183">
        <v>43753</v>
      </c>
      <c r="M39" s="103" t="s">
        <v>6</v>
      </c>
      <c r="N39" s="82">
        <v>1.28</v>
      </c>
      <c r="O39" s="152">
        <v>0</v>
      </c>
      <c r="P39" s="180" t="s">
        <v>7</v>
      </c>
      <c r="Q39" s="181">
        <v>1.764</v>
      </c>
      <c r="R39" s="182">
        <v>300000</v>
      </c>
      <c r="S39" s="120"/>
    </row>
    <row r="40" spans="1:19" ht="6.95" customHeight="1">
      <c r="A40" s="302"/>
      <c r="B40" s="268" t="s">
        <v>306</v>
      </c>
      <c r="C40" s="269">
        <v>46914</v>
      </c>
      <c r="D40" s="270" t="s">
        <v>10</v>
      </c>
      <c r="E40" s="271">
        <v>0.63</v>
      </c>
      <c r="F40" s="272">
        <v>-9.000000000000008E-3</v>
      </c>
      <c r="G40" s="273">
        <v>1461000</v>
      </c>
      <c r="H40" s="264"/>
      <c r="I40" s="7"/>
      <c r="J40" s="319"/>
      <c r="K40" s="84" t="s">
        <v>310</v>
      </c>
      <c r="L40" s="183">
        <v>43753</v>
      </c>
      <c r="M40" s="103" t="s">
        <v>6</v>
      </c>
      <c r="N40" s="82">
        <v>1.28</v>
      </c>
      <c r="O40" s="152">
        <v>0</v>
      </c>
      <c r="P40" s="180" t="s">
        <v>7</v>
      </c>
      <c r="Q40" s="181">
        <v>1.5149999999999999</v>
      </c>
      <c r="R40" s="182">
        <v>770000</v>
      </c>
      <c r="S40" s="120"/>
    </row>
    <row r="41" spans="1:19" ht="6.95" customHeight="1">
      <c r="A41" s="303"/>
      <c r="B41" s="14" t="s">
        <v>239</v>
      </c>
      <c r="C41" s="101">
        <v>46183</v>
      </c>
      <c r="D41" s="234" t="s">
        <v>5</v>
      </c>
      <c r="E41" s="82">
        <v>0.40500000000000003</v>
      </c>
      <c r="F41" s="152">
        <v>-5.9999999999999498E-3</v>
      </c>
      <c r="G41" s="153">
        <v>2918020</v>
      </c>
      <c r="H41" s="95"/>
      <c r="I41" s="7"/>
      <c r="J41" s="319"/>
      <c r="K41" s="84" t="s">
        <v>303</v>
      </c>
      <c r="L41" s="183">
        <v>43746</v>
      </c>
      <c r="M41" s="103" t="s">
        <v>6</v>
      </c>
      <c r="N41" s="82">
        <v>1.28</v>
      </c>
      <c r="O41" s="152">
        <v>0</v>
      </c>
      <c r="P41" s="180" t="s">
        <v>7</v>
      </c>
      <c r="Q41" s="181">
        <v>1.534</v>
      </c>
      <c r="R41" s="182">
        <v>900000</v>
      </c>
      <c r="S41" s="120"/>
    </row>
    <row r="42" spans="1:19" ht="6.95" customHeight="1">
      <c r="A42" s="303"/>
      <c r="B42" s="14" t="s">
        <v>240</v>
      </c>
      <c r="C42" s="101">
        <v>45818</v>
      </c>
      <c r="D42" s="234" t="s">
        <v>6</v>
      </c>
      <c r="E42" s="82">
        <v>0.27</v>
      </c>
      <c r="F42" s="152">
        <v>-7.0000000000000062E-3</v>
      </c>
      <c r="G42" s="153">
        <v>683030</v>
      </c>
      <c r="H42" s="95"/>
      <c r="I42" s="7"/>
      <c r="J42" s="319"/>
      <c r="K42" s="84" t="s">
        <v>190</v>
      </c>
      <c r="L42" s="183">
        <v>43740</v>
      </c>
      <c r="M42" s="103" t="s">
        <v>5</v>
      </c>
      <c r="N42" s="82">
        <v>1.28</v>
      </c>
      <c r="O42" s="152">
        <v>0</v>
      </c>
      <c r="P42" s="180" t="s">
        <v>329</v>
      </c>
      <c r="Q42" s="181">
        <v>1.85</v>
      </c>
      <c r="R42" s="182">
        <v>8310000</v>
      </c>
      <c r="S42" s="120"/>
    </row>
    <row r="43" spans="1:19" ht="6.95" customHeight="1">
      <c r="A43" s="303"/>
      <c r="B43" s="149" t="s">
        <v>241</v>
      </c>
      <c r="C43" s="101">
        <v>45087</v>
      </c>
      <c r="D43" s="234" t="s">
        <v>10</v>
      </c>
      <c r="E43" s="82">
        <v>0.18</v>
      </c>
      <c r="F43" s="152">
        <v>-5.0000000000000044E-3</v>
      </c>
      <c r="G43" s="153">
        <v>679312</v>
      </c>
      <c r="H43" s="265"/>
      <c r="I43" s="7"/>
      <c r="J43" s="319"/>
      <c r="K43" s="84" t="s">
        <v>279</v>
      </c>
      <c r="L43" s="183">
        <v>43739</v>
      </c>
      <c r="M43" s="103" t="s">
        <v>6</v>
      </c>
      <c r="N43" s="82">
        <v>1.28</v>
      </c>
      <c r="O43" s="152">
        <v>0</v>
      </c>
      <c r="P43" s="180" t="s">
        <v>7</v>
      </c>
      <c r="Q43" s="181">
        <v>1.784</v>
      </c>
      <c r="R43" s="182">
        <v>310000</v>
      </c>
      <c r="S43" s="120"/>
    </row>
    <row r="44" spans="1:19" ht="6.75" customHeight="1">
      <c r="A44" s="303"/>
      <c r="B44" s="150" t="s">
        <v>242</v>
      </c>
      <c r="C44" s="101">
        <v>44357</v>
      </c>
      <c r="D44" s="234" t="s">
        <v>4</v>
      </c>
      <c r="E44" s="82">
        <v>0.111</v>
      </c>
      <c r="F44" s="152">
        <v>-6.9999999999999923E-3</v>
      </c>
      <c r="G44" s="153">
        <v>2753051</v>
      </c>
      <c r="H44" s="120"/>
      <c r="I44" s="7"/>
      <c r="J44" s="319"/>
      <c r="K44" s="84" t="s">
        <v>301</v>
      </c>
      <c r="L44" s="183">
        <v>43739</v>
      </c>
      <c r="M44" s="103" t="s">
        <v>6</v>
      </c>
      <c r="N44" s="82">
        <v>1.28</v>
      </c>
      <c r="O44" s="152">
        <v>0</v>
      </c>
      <c r="P44" s="180" t="s">
        <v>7</v>
      </c>
      <c r="Q44" s="181">
        <v>1.5740000000000001</v>
      </c>
      <c r="R44" s="182">
        <v>900000</v>
      </c>
      <c r="S44" s="120"/>
    </row>
    <row r="45" spans="1:19" ht="6.75" customHeight="1">
      <c r="A45" s="304"/>
      <c r="B45" s="151" t="s">
        <v>243</v>
      </c>
      <c r="C45" s="232">
        <v>43992</v>
      </c>
      <c r="D45" s="235" t="s">
        <v>5</v>
      </c>
      <c r="E45" s="83">
        <v>5.6000000000000001E-2</v>
      </c>
      <c r="F45" s="236">
        <v>3.0000000000000027E-3</v>
      </c>
      <c r="G45" s="233">
        <v>943000</v>
      </c>
      <c r="H45" s="258"/>
      <c r="I45" s="8"/>
      <c r="J45" s="319"/>
      <c r="K45" s="84" t="s">
        <v>297</v>
      </c>
      <c r="L45" s="183">
        <v>43732</v>
      </c>
      <c r="M45" s="103" t="s">
        <v>6</v>
      </c>
      <c r="N45" s="82">
        <v>1.28</v>
      </c>
      <c r="O45" s="152">
        <v>0</v>
      </c>
      <c r="P45" s="180" t="s">
        <v>7</v>
      </c>
      <c r="Q45" s="181">
        <v>1.5640000000000001</v>
      </c>
      <c r="R45" s="182">
        <v>600000</v>
      </c>
      <c r="S45" s="120"/>
    </row>
    <row r="46" spans="1:19" ht="6.75" customHeight="1">
      <c r="A46" s="302" t="s">
        <v>177</v>
      </c>
      <c r="B46" s="239" t="s">
        <v>323</v>
      </c>
      <c r="C46" s="231">
        <v>51023</v>
      </c>
      <c r="D46" s="222" t="s">
        <v>10</v>
      </c>
      <c r="E46" s="133">
        <v>1.292</v>
      </c>
      <c r="F46" s="223">
        <v>-3.0000000000000027E-2</v>
      </c>
      <c r="G46" s="224">
        <v>200000</v>
      </c>
      <c r="H46" s="134"/>
      <c r="I46" s="8"/>
      <c r="J46" s="319"/>
      <c r="K46" s="84" t="s">
        <v>277</v>
      </c>
      <c r="L46" s="183">
        <v>43725</v>
      </c>
      <c r="M46" s="103" t="s">
        <v>6</v>
      </c>
      <c r="N46" s="82">
        <v>1.28</v>
      </c>
      <c r="O46" s="152">
        <v>0</v>
      </c>
      <c r="P46" s="180" t="s">
        <v>7</v>
      </c>
      <c r="Q46" s="181">
        <v>1.794</v>
      </c>
      <c r="R46" s="182">
        <v>250000</v>
      </c>
      <c r="S46" s="120"/>
    </row>
    <row r="47" spans="1:19" ht="6.95" customHeight="1">
      <c r="A47" s="303"/>
      <c r="B47" s="297" t="s">
        <v>307</v>
      </c>
      <c r="C47" s="298">
        <v>50658</v>
      </c>
      <c r="D47" s="299" t="s">
        <v>9</v>
      </c>
      <c r="E47" s="157">
        <v>1.3069999999999999</v>
      </c>
      <c r="F47" s="158">
        <v>-3.0000000000000027E-2</v>
      </c>
      <c r="G47" s="300">
        <v>8221000</v>
      </c>
      <c r="H47" s="120" t="s">
        <v>203</v>
      </c>
      <c r="I47" s="8"/>
      <c r="J47" s="319"/>
      <c r="K47" s="84" t="s">
        <v>296</v>
      </c>
      <c r="L47" s="183">
        <v>43725</v>
      </c>
      <c r="M47" s="103" t="s">
        <v>6</v>
      </c>
      <c r="N47" s="82">
        <v>1.28</v>
      </c>
      <c r="O47" s="152">
        <v>0</v>
      </c>
      <c r="P47" s="180" t="s">
        <v>7</v>
      </c>
      <c r="Q47" s="181">
        <v>1.534</v>
      </c>
      <c r="R47" s="182">
        <v>800000</v>
      </c>
      <c r="S47" s="164"/>
    </row>
    <row r="48" spans="1:19" ht="6.95" customHeight="1">
      <c r="A48" s="303"/>
      <c r="B48" s="14" t="s">
        <v>222</v>
      </c>
      <c r="C48" s="186">
        <v>50293</v>
      </c>
      <c r="D48" s="238" t="s">
        <v>4</v>
      </c>
      <c r="E48" s="116">
        <v>1.3120000000000001</v>
      </c>
      <c r="F48" s="188">
        <v>-3.0000000000000027E-2</v>
      </c>
      <c r="G48" s="189">
        <v>9556000</v>
      </c>
      <c r="H48" s="213">
        <v>-1.3000000000000123E-2</v>
      </c>
      <c r="I48" s="9"/>
      <c r="J48" s="319"/>
      <c r="K48" s="84" t="s">
        <v>292</v>
      </c>
      <c r="L48" s="183">
        <v>43718</v>
      </c>
      <c r="M48" s="103" t="s">
        <v>6</v>
      </c>
      <c r="N48" s="82">
        <v>1.28</v>
      </c>
      <c r="O48" s="152">
        <v>0</v>
      </c>
      <c r="P48" s="180" t="s">
        <v>7</v>
      </c>
      <c r="Q48" s="181">
        <v>1.5940000000000001</v>
      </c>
      <c r="R48" s="182">
        <v>800000</v>
      </c>
      <c r="S48" s="164"/>
    </row>
    <row r="49" spans="1:20" ht="6.95" customHeight="1">
      <c r="A49" s="303"/>
      <c r="B49" s="150" t="s">
        <v>221</v>
      </c>
      <c r="C49" s="101">
        <v>49928</v>
      </c>
      <c r="D49" s="234" t="s">
        <v>5</v>
      </c>
      <c r="E49" s="82">
        <v>1.3080000000000001</v>
      </c>
      <c r="F49" s="152">
        <v>-3.0000000000000027E-2</v>
      </c>
      <c r="G49" s="153">
        <v>9793000</v>
      </c>
      <c r="H49" s="267"/>
      <c r="I49" s="8"/>
      <c r="J49" s="319"/>
      <c r="K49" s="84" t="s">
        <v>226</v>
      </c>
      <c r="L49" s="183">
        <v>43717</v>
      </c>
      <c r="M49" s="103" t="s">
        <v>13</v>
      </c>
      <c r="N49" s="82">
        <v>1.28</v>
      </c>
      <c r="O49" s="152">
        <v>0</v>
      </c>
      <c r="P49" s="180" t="s">
        <v>329</v>
      </c>
      <c r="Q49" s="181">
        <v>1.8</v>
      </c>
      <c r="R49" s="182">
        <v>5720000</v>
      </c>
      <c r="S49" s="165"/>
    </row>
    <row r="50" spans="1:20" ht="6.95" customHeight="1">
      <c r="A50" s="303"/>
      <c r="B50" s="149" t="s">
        <v>220</v>
      </c>
      <c r="C50" s="101">
        <v>49562</v>
      </c>
      <c r="D50" s="234" t="s">
        <v>13</v>
      </c>
      <c r="E50" s="82">
        <v>1.3089999999999999</v>
      </c>
      <c r="F50" s="152">
        <v>-2.9000000000000137E-2</v>
      </c>
      <c r="G50" s="153">
        <v>12359092</v>
      </c>
      <c r="H50" s="267"/>
      <c r="I50" s="8"/>
      <c r="J50" s="319"/>
      <c r="K50" s="84"/>
      <c r="L50" s="183"/>
      <c r="M50" s="103"/>
      <c r="N50" s="82"/>
      <c r="O50" s="152"/>
      <c r="P50" s="180"/>
      <c r="Q50" s="181"/>
      <c r="R50" s="182"/>
      <c r="S50" s="165"/>
    </row>
    <row r="51" spans="1:20" ht="6.95" customHeight="1">
      <c r="A51" s="303"/>
      <c r="B51" s="150" t="s">
        <v>219</v>
      </c>
      <c r="C51" s="101">
        <v>48923</v>
      </c>
      <c r="D51" s="234" t="s">
        <v>10</v>
      </c>
      <c r="E51" s="82">
        <v>1.3109999999999999</v>
      </c>
      <c r="F51" s="152">
        <v>-2.7000000000000135E-2</v>
      </c>
      <c r="G51" s="153">
        <v>17673540</v>
      </c>
      <c r="H51" s="163"/>
      <c r="I51" s="8"/>
      <c r="J51" s="319"/>
      <c r="K51" s="84"/>
      <c r="L51" s="183"/>
      <c r="M51" s="103"/>
      <c r="N51" s="82"/>
      <c r="O51" s="152"/>
      <c r="P51" s="180"/>
      <c r="Q51" s="181"/>
      <c r="R51" s="182"/>
      <c r="S51" s="165"/>
    </row>
    <row r="52" spans="1:20" ht="6.95" customHeight="1">
      <c r="A52" s="303"/>
      <c r="B52" s="150" t="s">
        <v>218</v>
      </c>
      <c r="C52" s="101">
        <v>48192</v>
      </c>
      <c r="D52" s="234" t="s">
        <v>5</v>
      </c>
      <c r="E52" s="82">
        <v>1.3129999999999999</v>
      </c>
      <c r="F52" s="152">
        <v>-2.6000000000000023E-2</v>
      </c>
      <c r="G52" s="153">
        <v>19863560</v>
      </c>
      <c r="H52" s="120"/>
      <c r="I52" s="8"/>
      <c r="J52" s="319"/>
      <c r="K52" s="84"/>
      <c r="L52" s="183"/>
      <c r="M52" s="103"/>
      <c r="N52" s="82"/>
      <c r="O52" s="152"/>
      <c r="P52" s="180"/>
      <c r="Q52" s="181"/>
      <c r="R52" s="182"/>
      <c r="S52" s="165"/>
    </row>
    <row r="53" spans="1:20" ht="6.95" customHeight="1">
      <c r="A53" s="303"/>
      <c r="B53" s="150" t="s">
        <v>217</v>
      </c>
      <c r="C53" s="101">
        <v>47827</v>
      </c>
      <c r="D53" s="234" t="s">
        <v>6</v>
      </c>
      <c r="E53" s="82">
        <v>1.3149999999999999</v>
      </c>
      <c r="F53" s="152">
        <v>-2.6000000000000023E-2</v>
      </c>
      <c r="G53" s="153">
        <v>11258300</v>
      </c>
      <c r="H53" s="120"/>
      <c r="I53" s="8"/>
      <c r="J53" s="319"/>
      <c r="K53" s="84"/>
      <c r="L53" s="183"/>
      <c r="M53" s="103"/>
      <c r="N53" s="82"/>
      <c r="O53" s="152"/>
      <c r="P53" s="180"/>
      <c r="Q53" s="181"/>
      <c r="R53" s="182"/>
      <c r="S53" s="165"/>
    </row>
    <row r="54" spans="1:20" ht="6.95" customHeight="1">
      <c r="A54" s="303"/>
      <c r="B54" s="150" t="s">
        <v>145</v>
      </c>
      <c r="C54" s="101">
        <v>47462</v>
      </c>
      <c r="D54" s="234" t="s">
        <v>13</v>
      </c>
      <c r="E54" s="82">
        <v>1.3160000000000001</v>
      </c>
      <c r="F54" s="152">
        <v>-2.6000000000000023E-2</v>
      </c>
      <c r="G54" s="153">
        <v>11103300</v>
      </c>
      <c r="H54" s="120"/>
      <c r="I54" s="12"/>
      <c r="J54" s="319"/>
      <c r="K54" s="84"/>
      <c r="L54" s="183"/>
      <c r="M54" s="103"/>
      <c r="N54" s="82"/>
      <c r="O54" s="152"/>
      <c r="P54" s="180"/>
      <c r="Q54" s="181"/>
      <c r="R54" s="182"/>
      <c r="S54" s="165"/>
      <c r="T54"/>
    </row>
    <row r="55" spans="1:20" ht="7.5" customHeight="1">
      <c r="A55" s="303"/>
      <c r="B55" s="150" t="s">
        <v>146</v>
      </c>
      <c r="C55" s="101">
        <v>46822</v>
      </c>
      <c r="D55" s="234" t="s">
        <v>9</v>
      </c>
      <c r="E55" s="82">
        <v>1.325</v>
      </c>
      <c r="F55" s="152">
        <v>-2.5000000000000133E-2</v>
      </c>
      <c r="G55" s="153">
        <v>10927000</v>
      </c>
      <c r="H55" s="120"/>
      <c r="I55" s="12"/>
      <c r="J55" s="320"/>
      <c r="K55" s="96"/>
      <c r="L55" s="102"/>
      <c r="M55" s="104"/>
      <c r="N55" s="83"/>
      <c r="O55" s="97"/>
      <c r="P55" s="167"/>
      <c r="Q55" s="168"/>
      <c r="R55" s="169"/>
      <c r="S55" s="204"/>
      <c r="T55"/>
    </row>
    <row r="56" spans="1:20" ht="7.5" customHeight="1">
      <c r="A56" s="303"/>
      <c r="B56" s="150" t="s">
        <v>216</v>
      </c>
      <c r="C56" s="101">
        <v>46456</v>
      </c>
      <c r="D56" s="234" t="s">
        <v>5</v>
      </c>
      <c r="E56" s="82">
        <v>1.3129999999999999</v>
      </c>
      <c r="F56" s="152">
        <v>-2.5000000000000133E-2</v>
      </c>
      <c r="G56" s="153">
        <v>5181000</v>
      </c>
      <c r="H56" s="242"/>
      <c r="I56" s="12"/>
      <c r="J56" s="129"/>
      <c r="K56" s="12"/>
      <c r="L56" s="13"/>
      <c r="M56" s="49"/>
      <c r="N56" s="49"/>
      <c r="O56" s="12"/>
      <c r="P56" s="12"/>
      <c r="Q56" s="73"/>
      <c r="R56" s="31"/>
      <c r="S56" s="32"/>
      <c r="T56"/>
    </row>
    <row r="57" spans="1:20" ht="7.5" customHeight="1">
      <c r="A57" s="304"/>
      <c r="B57" s="237" t="s">
        <v>244</v>
      </c>
      <c r="C57" s="282">
        <v>46091</v>
      </c>
      <c r="D57" s="283" t="s">
        <v>6</v>
      </c>
      <c r="E57" s="284">
        <v>1.302</v>
      </c>
      <c r="F57" s="285">
        <v>-2.2999999999999909E-2</v>
      </c>
      <c r="G57" s="286">
        <v>6649210</v>
      </c>
      <c r="H57" s="242"/>
      <c r="I57" s="12"/>
      <c r="J57" s="12"/>
      <c r="K57" s="12"/>
      <c r="L57" s="13"/>
      <c r="M57" s="49"/>
      <c r="N57" s="49"/>
      <c r="O57" s="12"/>
      <c r="P57" s="12"/>
      <c r="Q57" s="73"/>
      <c r="R57" s="31"/>
      <c r="S57" s="32"/>
      <c r="T57"/>
    </row>
    <row r="58" spans="1:20" ht="6.95" customHeight="1">
      <c r="A58" s="302" t="s">
        <v>176</v>
      </c>
      <c r="B58" s="268" t="s">
        <v>308</v>
      </c>
      <c r="C58" s="269">
        <v>54492</v>
      </c>
      <c r="D58" s="270" t="s">
        <v>5</v>
      </c>
      <c r="E58" s="271">
        <v>1.2949999999999999</v>
      </c>
      <c r="F58" s="272">
        <v>-3.7000000000000144E-2</v>
      </c>
      <c r="G58" s="273">
        <v>16376014</v>
      </c>
      <c r="H58" s="296"/>
      <c r="I58" s="12"/>
      <c r="J58" s="12"/>
      <c r="K58" s="12"/>
      <c r="L58" s="13"/>
      <c r="M58" s="49"/>
      <c r="N58" s="49"/>
      <c r="O58" s="12"/>
      <c r="P58" s="12"/>
      <c r="Q58" s="73"/>
      <c r="R58" s="31"/>
      <c r="S58" s="32"/>
      <c r="T58"/>
    </row>
    <row r="59" spans="1:20" ht="6.95" customHeight="1">
      <c r="A59" s="303"/>
      <c r="B59" s="211" t="s">
        <v>275</v>
      </c>
      <c r="C59" s="101">
        <v>54127</v>
      </c>
      <c r="D59" s="234" t="s">
        <v>6</v>
      </c>
      <c r="E59" s="82">
        <v>1.2969999999999999</v>
      </c>
      <c r="F59" s="152">
        <v>-3.8000000000000034E-2</v>
      </c>
      <c r="G59" s="153">
        <v>22902000</v>
      </c>
      <c r="H59" s="94" t="s">
        <v>175</v>
      </c>
      <c r="I59" s="12"/>
      <c r="J59" s="42"/>
      <c r="K59" s="12"/>
      <c r="L59" s="13"/>
      <c r="M59" s="49"/>
      <c r="N59" s="49"/>
      <c r="O59" s="12"/>
      <c r="P59" s="12"/>
      <c r="Q59" s="73"/>
      <c r="R59" s="31"/>
      <c r="S59" s="32"/>
      <c r="T59"/>
    </row>
    <row r="60" spans="1:20" ht="6.95" customHeight="1">
      <c r="A60" s="303"/>
      <c r="B60" s="14" t="s">
        <v>195</v>
      </c>
      <c r="C60" s="101">
        <v>53761</v>
      </c>
      <c r="D60" s="234" t="s">
        <v>11</v>
      </c>
      <c r="E60" s="82">
        <v>1.2969999999999999</v>
      </c>
      <c r="F60" s="152">
        <v>-3.8000000000000034E-2</v>
      </c>
      <c r="G60" s="153">
        <v>21413000</v>
      </c>
      <c r="H60" s="121">
        <v>-1.2000000000000011E-2</v>
      </c>
      <c r="I60" s="12"/>
      <c r="J60" s="12"/>
      <c r="K60" s="12"/>
      <c r="L60" s="13"/>
      <c r="M60" s="49"/>
      <c r="N60" s="49"/>
      <c r="O60" s="12"/>
      <c r="P60" s="12"/>
      <c r="Q60" s="73"/>
      <c r="R60" s="31"/>
      <c r="S60" s="32"/>
      <c r="T60"/>
    </row>
    <row r="61" spans="1:20" ht="6.95" customHeight="1">
      <c r="A61" s="303"/>
      <c r="B61" s="14" t="s">
        <v>245</v>
      </c>
      <c r="C61" s="101">
        <v>53396</v>
      </c>
      <c r="D61" s="234" t="s">
        <v>10</v>
      </c>
      <c r="E61" s="82">
        <v>1.298</v>
      </c>
      <c r="F61" s="152">
        <v>-3.6999999999999922E-2</v>
      </c>
      <c r="G61" s="153">
        <v>14387000</v>
      </c>
      <c r="H61" s="94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303"/>
      <c r="B62" s="149" t="s">
        <v>246</v>
      </c>
      <c r="C62" s="101">
        <v>52941</v>
      </c>
      <c r="D62" s="234" t="s">
        <v>10</v>
      </c>
      <c r="E62" s="82">
        <v>1.2989999999999999</v>
      </c>
      <c r="F62" s="152">
        <v>-3.6000000000000032E-2</v>
      </c>
      <c r="G62" s="153">
        <v>15083029</v>
      </c>
      <c r="H62" s="287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304"/>
      <c r="B63" s="151" t="s">
        <v>247</v>
      </c>
      <c r="C63" s="186">
        <v>52210</v>
      </c>
      <c r="D63" s="238" t="s">
        <v>5</v>
      </c>
      <c r="E63" s="116">
        <v>1.3009999999999999</v>
      </c>
      <c r="F63" s="188">
        <v>-3.400000000000003E-2</v>
      </c>
      <c r="G63" s="233">
        <v>20278021</v>
      </c>
      <c r="H63" s="288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311" t="s">
        <v>251</v>
      </c>
      <c r="B64" s="239" t="s">
        <v>250</v>
      </c>
      <c r="C64" s="294">
        <v>61616</v>
      </c>
      <c r="D64" s="222" t="s">
        <v>13</v>
      </c>
      <c r="E64" s="133">
        <v>1.3149999999999999</v>
      </c>
      <c r="F64" s="223">
        <v>-3.8000000000000034E-2</v>
      </c>
      <c r="G64" s="224">
        <v>3558000</v>
      </c>
      <c r="H64" s="289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312"/>
      <c r="B65" s="151" t="s">
        <v>249</v>
      </c>
      <c r="C65" s="295">
        <v>60885</v>
      </c>
      <c r="D65" s="235" t="s">
        <v>9</v>
      </c>
      <c r="E65" s="83">
        <v>1.3080000000000001</v>
      </c>
      <c r="F65" s="236">
        <v>-3.6999999999999922E-2</v>
      </c>
      <c r="G65" s="233">
        <v>2184000</v>
      </c>
      <c r="H65" s="290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74"/>
      <c r="B66" s="275"/>
      <c r="C66" s="291"/>
      <c r="D66" s="292"/>
      <c r="E66" s="293"/>
      <c r="F66" s="293"/>
      <c r="G66" s="292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98" t="s">
        <v>0</v>
      </c>
      <c r="C67" s="99" t="s">
        <v>122</v>
      </c>
      <c r="D67" s="99" t="s">
        <v>2</v>
      </c>
      <c r="E67" s="100" t="s">
        <v>123</v>
      </c>
      <c r="F67" s="52" t="s">
        <v>17</v>
      </c>
      <c r="G67" s="112" t="s">
        <v>8</v>
      </c>
      <c r="H67" s="45" t="s">
        <v>165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305" t="s">
        <v>54</v>
      </c>
      <c r="B68" s="147" t="s">
        <v>327</v>
      </c>
      <c r="C68" s="143">
        <v>45565</v>
      </c>
      <c r="D68" s="144" t="s">
        <v>13</v>
      </c>
      <c r="E68" s="145">
        <v>1.345</v>
      </c>
      <c r="F68" s="146">
        <v>-2.100000000000013E-2</v>
      </c>
      <c r="G68" s="148">
        <v>316788</v>
      </c>
      <c r="H68" s="108" t="s">
        <v>125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306"/>
      <c r="B69" s="14" t="s">
        <v>319</v>
      </c>
      <c r="C69" s="110">
        <v>45535</v>
      </c>
      <c r="D69" s="114" t="s">
        <v>10</v>
      </c>
      <c r="E69" s="82">
        <v>1.345</v>
      </c>
      <c r="F69" s="53">
        <v>-2.100000000000013E-2</v>
      </c>
      <c r="G69" s="15">
        <v>1293456</v>
      </c>
      <c r="H69" s="105" t="s">
        <v>126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93">
        <v>43712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306"/>
      <c r="B70" s="14" t="s">
        <v>314</v>
      </c>
      <c r="C70" s="110">
        <v>45535</v>
      </c>
      <c r="D70" s="114" t="s">
        <v>10</v>
      </c>
      <c r="E70" s="82">
        <v>1.345</v>
      </c>
      <c r="F70" s="53">
        <v>-2.100000000000013E-2</v>
      </c>
      <c r="G70" s="15">
        <v>493819</v>
      </c>
      <c r="H70" s="212">
        <v>6.800000000000006E-2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93">
        <v>43712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306"/>
      <c r="B71" s="14" t="s">
        <v>312</v>
      </c>
      <c r="C71" s="110">
        <v>45504</v>
      </c>
      <c r="D71" s="114" t="s">
        <v>5</v>
      </c>
      <c r="E71" s="82">
        <v>1.343</v>
      </c>
      <c r="F71" s="53">
        <v>-2.200000000000002E-2</v>
      </c>
      <c r="G71" s="15">
        <v>430790</v>
      </c>
      <c r="H71" s="10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93">
        <v>43712</v>
      </c>
      <c r="AA71" s="28">
        <v>43712</v>
      </c>
      <c r="AB71" s="4">
        <v>43711</v>
      </c>
      <c r="AC71" s="4">
        <v>43710</v>
      </c>
      <c r="AD71" s="4">
        <v>43707</v>
      </c>
      <c r="AE71" s="4">
        <v>43706</v>
      </c>
      <c r="AF71" s="4">
        <v>43705</v>
      </c>
      <c r="AG71" s="4">
        <v>43704</v>
      </c>
      <c r="AH71" s="4">
        <v>43703</v>
      </c>
      <c r="AI71" s="4">
        <v>43700</v>
      </c>
      <c r="AJ71" s="4">
        <v>43699</v>
      </c>
      <c r="AK71" s="4">
        <v>43698</v>
      </c>
      <c r="AL71" s="4">
        <v>43697</v>
      </c>
      <c r="AM71" s="4">
        <v>43696</v>
      </c>
      <c r="AN71" s="4">
        <v>43693</v>
      </c>
      <c r="AO71" s="4">
        <v>43691</v>
      </c>
      <c r="AP71" s="4">
        <v>43690</v>
      </c>
      <c r="AQ71" s="4">
        <v>43689</v>
      </c>
      <c r="AR71" s="4">
        <v>43686</v>
      </c>
      <c r="AS71" s="4">
        <v>43685</v>
      </c>
    </row>
    <row r="72" spans="1:47" ht="6.95" customHeight="1">
      <c r="A72" s="306"/>
      <c r="B72" s="14" t="s">
        <v>298</v>
      </c>
      <c r="C72" s="110">
        <v>45504</v>
      </c>
      <c r="D72" s="114" t="s">
        <v>5</v>
      </c>
      <c r="E72" s="82">
        <v>1.343</v>
      </c>
      <c r="F72" s="53">
        <v>-2.200000000000002E-2</v>
      </c>
      <c r="G72" s="15">
        <v>1036789</v>
      </c>
      <c r="H72" s="10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135</v>
      </c>
      <c r="Z72" s="90">
        <v>43712</v>
      </c>
      <c r="AA72" s="90">
        <v>43711</v>
      </c>
      <c r="AB72" s="90">
        <v>43710</v>
      </c>
      <c r="AC72" s="90">
        <v>43707</v>
      </c>
      <c r="AD72" s="90">
        <v>43706</v>
      </c>
      <c r="AE72" s="27">
        <v>43705</v>
      </c>
      <c r="AF72" s="27">
        <v>43704</v>
      </c>
      <c r="AG72" s="27">
        <v>43703</v>
      </c>
      <c r="AH72" s="27">
        <v>43700</v>
      </c>
      <c r="AI72" s="27">
        <v>43699</v>
      </c>
      <c r="AJ72" s="27">
        <v>43698</v>
      </c>
      <c r="AK72" s="27">
        <v>43697</v>
      </c>
      <c r="AL72" s="27">
        <v>43696</v>
      </c>
      <c r="AM72" s="27">
        <v>43693</v>
      </c>
      <c r="AN72" s="27">
        <v>43691</v>
      </c>
      <c r="AO72" s="27">
        <v>43690</v>
      </c>
      <c r="AP72" s="27">
        <v>43689</v>
      </c>
      <c r="AQ72" s="27">
        <v>43686</v>
      </c>
      <c r="AR72" s="27">
        <v>43685</v>
      </c>
      <c r="AS72" s="27">
        <v>43684</v>
      </c>
      <c r="AT72" s="4">
        <v>42261</v>
      </c>
      <c r="AU72" s="4">
        <v>42146</v>
      </c>
    </row>
    <row r="73" spans="1:47" ht="6.95" customHeight="1">
      <c r="A73" s="306"/>
      <c r="B73" s="14" t="s">
        <v>286</v>
      </c>
      <c r="C73" s="110">
        <v>45473</v>
      </c>
      <c r="D73" s="114" t="s">
        <v>11</v>
      </c>
      <c r="E73" s="82">
        <v>1.341</v>
      </c>
      <c r="F73" s="53">
        <v>-2.100000000000013E-2</v>
      </c>
      <c r="G73" s="15">
        <v>1062981</v>
      </c>
      <c r="H73" s="10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167</v>
      </c>
      <c r="Z73" s="117">
        <v>-2.5000000000000133E-2</v>
      </c>
      <c r="AA73" s="117">
        <v>-1.2999999999999901E-2</v>
      </c>
      <c r="AB73" s="117">
        <v>-1.4999999999999902E-2</v>
      </c>
      <c r="AC73" s="117">
        <v>6.0000000000000053E-3</v>
      </c>
      <c r="AD73" s="117">
        <v>8.999999999999897E-3</v>
      </c>
      <c r="AE73" s="117">
        <v>1.6999999999999904E-2</v>
      </c>
      <c r="AF73" s="117">
        <v>3.0000000000000027E-2</v>
      </c>
      <c r="AG73" s="117">
        <v>8.0000000000000071E-3</v>
      </c>
      <c r="AH73" s="117">
        <v>1.2000000000000011E-2</v>
      </c>
      <c r="AI73" s="117">
        <v>-7.0000000000001172E-3</v>
      </c>
      <c r="AJ73" s="117">
        <v>-1.4999999999999902E-2</v>
      </c>
      <c r="AK73" s="117">
        <v>-1.3000000000000123E-2</v>
      </c>
      <c r="AL73" s="117">
        <v>-3.2000000000000028E-2</v>
      </c>
      <c r="AM73" s="117">
        <v>-2.8000000000000025E-2</v>
      </c>
      <c r="AN73" s="117">
        <v>-2.0000000000000018E-2</v>
      </c>
      <c r="AO73" s="117">
        <v>-2.5000000000000133E-2</v>
      </c>
      <c r="AP73" s="117">
        <v>-2.5000000000000133E-2</v>
      </c>
      <c r="AQ73" s="117">
        <v>-2.6999999999999913E-2</v>
      </c>
      <c r="AR73" s="117">
        <v>-1.0000000000000009E-2</v>
      </c>
      <c r="AS73" s="117">
        <v>-4.9999999999998934E-3</v>
      </c>
      <c r="AT73" s="4">
        <v>0.25200000000000022</v>
      </c>
      <c r="AU73" s="4">
        <v>0.31000000000000005</v>
      </c>
    </row>
    <row r="74" spans="1:47" ht="6.95" customHeight="1">
      <c r="A74" s="307"/>
      <c r="B74" s="14" t="s">
        <v>284</v>
      </c>
      <c r="C74" s="110">
        <v>45473</v>
      </c>
      <c r="D74" s="114" t="s">
        <v>11</v>
      </c>
      <c r="E74" s="82">
        <v>1.341</v>
      </c>
      <c r="F74" s="53">
        <v>-2.100000000000013E-2</v>
      </c>
      <c r="G74" s="15">
        <v>78726</v>
      </c>
      <c r="H74" s="107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136</v>
      </c>
      <c r="Z74" s="117">
        <v>-1.3000000000000123E-2</v>
      </c>
      <c r="AA74" s="117">
        <v>-8.0000000000000071E-3</v>
      </c>
      <c r="AB74" s="117">
        <v>-1.2000000000000011E-2</v>
      </c>
      <c r="AC74" s="117">
        <v>6.0000000000000053E-3</v>
      </c>
      <c r="AD74" s="117">
        <v>8.999999999999897E-3</v>
      </c>
      <c r="AE74" s="117">
        <v>1.4999999999999902E-2</v>
      </c>
      <c r="AF74" s="117">
        <v>2.3000000000000131E-2</v>
      </c>
      <c r="AG74" s="117">
        <v>8.0000000000000071E-3</v>
      </c>
      <c r="AH74" s="117">
        <v>1.0000000000000009E-2</v>
      </c>
      <c r="AI74" s="117">
        <v>-1.2000000000000011E-2</v>
      </c>
      <c r="AJ74" s="117">
        <v>-8.0000000000000071E-3</v>
      </c>
      <c r="AK74" s="117">
        <v>-8.0000000000000071E-3</v>
      </c>
      <c r="AL74" s="117">
        <v>-2.4000000000000021E-2</v>
      </c>
      <c r="AM74" s="117">
        <v>-2.0000000000000018E-2</v>
      </c>
      <c r="AN74" s="117">
        <v>-2.0000000000000018E-3</v>
      </c>
      <c r="AO74" s="117">
        <v>-1.2000000000000011E-2</v>
      </c>
      <c r="AP74" s="117">
        <v>-1.3000000000000123E-2</v>
      </c>
      <c r="AQ74" s="117">
        <v>-1.5000000000000124E-2</v>
      </c>
      <c r="AR74" s="117">
        <v>-2.0000000000000018E-3</v>
      </c>
      <c r="AS74" s="117">
        <v>2.0000000000000018E-3</v>
      </c>
      <c r="AT74" s="4">
        <v>0.16199999999999992</v>
      </c>
      <c r="AU74" s="4">
        <v>0.22699999999999987</v>
      </c>
    </row>
    <row r="75" spans="1:47" ht="6.95" customHeight="1">
      <c r="A75" s="305" t="s">
        <v>53</v>
      </c>
      <c r="B75" s="147" t="s">
        <v>328</v>
      </c>
      <c r="C75" s="143">
        <v>45565</v>
      </c>
      <c r="D75" s="144" t="s">
        <v>13</v>
      </c>
      <c r="E75" s="145">
        <v>1.395</v>
      </c>
      <c r="F75" s="146">
        <v>1.395</v>
      </c>
      <c r="G75" s="148">
        <v>11183</v>
      </c>
      <c r="H75" s="108" t="s">
        <v>127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137</v>
      </c>
      <c r="Z75" s="117">
        <v>4.3000000000000149E-2</v>
      </c>
      <c r="AA75" s="117">
        <v>4.8000000000000043E-2</v>
      </c>
      <c r="AB75" s="117">
        <v>4.2999999999999927E-2</v>
      </c>
      <c r="AC75" s="117">
        <v>3.6999999999999922E-2</v>
      </c>
      <c r="AD75" s="117">
        <v>3.1000000000000139E-2</v>
      </c>
      <c r="AE75" s="117">
        <v>4.0000000000000036E-2</v>
      </c>
      <c r="AF75" s="117">
        <v>4.4999999999999929E-2</v>
      </c>
      <c r="AG75" s="117">
        <v>4.8999999999999932E-2</v>
      </c>
      <c r="AH75" s="117">
        <v>5.0000000000000044E-2</v>
      </c>
      <c r="AI75" s="117">
        <v>6.0000000000000053E-2</v>
      </c>
      <c r="AJ75" s="117">
        <v>5.4999999999999938E-2</v>
      </c>
      <c r="AK75" s="117">
        <v>5.3000000000000158E-2</v>
      </c>
      <c r="AL75" s="117">
        <v>4.7999999999999821E-2</v>
      </c>
      <c r="AM75" s="117">
        <v>4.8000000000000043E-2</v>
      </c>
      <c r="AN75" s="117">
        <v>5.0000000000000044E-2</v>
      </c>
      <c r="AO75" s="117">
        <v>6.2000000000000055E-2</v>
      </c>
      <c r="AP75" s="117">
        <v>6.4999999999999947E-2</v>
      </c>
      <c r="AQ75" s="117">
        <v>6.4999999999999947E-2</v>
      </c>
      <c r="AR75" s="117">
        <v>7.0000000000000062E-2</v>
      </c>
      <c r="AS75" s="117">
        <v>6.899999999999995E-2</v>
      </c>
      <c r="AT75" s="4">
        <v>0.3879999999999999</v>
      </c>
      <c r="AU75" s="4">
        <v>0.39500000000000002</v>
      </c>
    </row>
    <row r="76" spans="1:47" ht="6.95" customHeight="1">
      <c r="A76" s="306"/>
      <c r="B76" s="14" t="s">
        <v>315</v>
      </c>
      <c r="C76" s="110">
        <v>45535</v>
      </c>
      <c r="D76" s="114" t="s">
        <v>10</v>
      </c>
      <c r="E76" s="82">
        <v>1.3939999999999999</v>
      </c>
      <c r="F76" s="53">
        <v>-2.100000000000013E-2</v>
      </c>
      <c r="G76" s="15">
        <v>32016</v>
      </c>
      <c r="H76" s="111" t="s">
        <v>126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159</v>
      </c>
      <c r="Z76" s="117">
        <v>6.0999999999999943E-2</v>
      </c>
      <c r="AA76" s="117">
        <v>6.6999999999999948E-2</v>
      </c>
      <c r="AB76" s="117">
        <v>5.699999999999994E-2</v>
      </c>
      <c r="AC76" s="117">
        <v>4.9000000000000155E-2</v>
      </c>
      <c r="AD76" s="117">
        <v>3.499999999999992E-2</v>
      </c>
      <c r="AE76" s="117">
        <v>3.2999999999999918E-2</v>
      </c>
      <c r="AF76" s="117">
        <v>2.4999999999999911E-2</v>
      </c>
      <c r="AG76" s="117">
        <v>4.8000000000000043E-2</v>
      </c>
      <c r="AH76" s="117">
        <v>5.4999999999999938E-2</v>
      </c>
      <c r="AI76" s="117">
        <v>5.2999999999999936E-2</v>
      </c>
      <c r="AJ76" s="117">
        <v>4.4999999999999929E-2</v>
      </c>
      <c r="AK76" s="117">
        <v>3.9999999999999813E-2</v>
      </c>
      <c r="AL76" s="117">
        <v>3.0000000000000027E-2</v>
      </c>
      <c r="AM76" s="117">
        <v>3.5000000000000142E-2</v>
      </c>
      <c r="AN76" s="117">
        <v>2.8000000000000025E-2</v>
      </c>
      <c r="AO76" s="117">
        <v>3.8000000000000034E-2</v>
      </c>
      <c r="AP76" s="117">
        <v>4.0000000000000036E-2</v>
      </c>
      <c r="AQ76" s="117">
        <v>4.0000000000000036E-2</v>
      </c>
      <c r="AR76" s="117">
        <v>3.0000000000000027E-2</v>
      </c>
      <c r="AS76" s="117">
        <v>2.0999999999999908E-2</v>
      </c>
      <c r="AT76" s="4">
        <v>0.19199999999999995</v>
      </c>
      <c r="AU76" s="4">
        <v>0.24000000000000021</v>
      </c>
    </row>
    <row r="77" spans="1:47" ht="6.95" customHeight="1">
      <c r="A77" s="307"/>
      <c r="B77" s="96" t="s">
        <v>299</v>
      </c>
      <c r="C77" s="102">
        <v>45504</v>
      </c>
      <c r="D77" s="104" t="s">
        <v>5</v>
      </c>
      <c r="E77" s="83">
        <v>1.3919999999999999</v>
      </c>
      <c r="F77" s="97">
        <v>-2.100000000000013E-2</v>
      </c>
      <c r="G77" s="113">
        <v>29005</v>
      </c>
      <c r="H77" s="212">
        <v>0.1180000000000001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160</v>
      </c>
      <c r="Z77" s="117">
        <v>0.10400000000000009</v>
      </c>
      <c r="AA77" s="117">
        <v>0.11499999999999999</v>
      </c>
      <c r="AB77" s="117">
        <v>9.9999999999999867E-2</v>
      </c>
      <c r="AC77" s="117">
        <v>8.6000000000000076E-2</v>
      </c>
      <c r="AD77" s="117">
        <v>6.6000000000000059E-2</v>
      </c>
      <c r="AE77" s="117">
        <v>7.2999999999999954E-2</v>
      </c>
      <c r="AF77" s="117">
        <v>6.999999999999984E-2</v>
      </c>
      <c r="AG77" s="117">
        <v>9.6999999999999975E-2</v>
      </c>
      <c r="AH77" s="117">
        <v>0.10499999999999998</v>
      </c>
      <c r="AI77" s="117">
        <v>0.11299999999999999</v>
      </c>
      <c r="AJ77" s="117">
        <v>9.9999999999999867E-2</v>
      </c>
      <c r="AK77" s="117">
        <v>9.2999999999999972E-2</v>
      </c>
      <c r="AL77" s="117">
        <v>7.7999999999999847E-2</v>
      </c>
      <c r="AM77" s="117">
        <v>8.3000000000000185E-2</v>
      </c>
      <c r="AN77" s="117">
        <v>7.8000000000000069E-2</v>
      </c>
      <c r="AO77" s="117">
        <v>0.10000000000000009</v>
      </c>
      <c r="AP77" s="117">
        <v>0.10499999999999998</v>
      </c>
      <c r="AQ77" s="117">
        <v>0.10499999999999998</v>
      </c>
      <c r="AR77" s="117">
        <v>0.10000000000000009</v>
      </c>
      <c r="AS77" s="117">
        <v>8.9999999999999858E-2</v>
      </c>
      <c r="AT77" s="4">
        <v>0.57999999999999985</v>
      </c>
      <c r="AU77" s="4">
        <v>0.63500000000000023</v>
      </c>
    </row>
    <row r="78" spans="1:47" ht="6.95" customHeight="1">
      <c r="A78" s="305" t="s">
        <v>48</v>
      </c>
      <c r="B78" s="147" t="s">
        <v>215</v>
      </c>
      <c r="C78" s="143">
        <v>44418</v>
      </c>
      <c r="D78" s="144" t="s">
        <v>6</v>
      </c>
      <c r="E78" s="145">
        <v>1.3620000000000001</v>
      </c>
      <c r="F78" s="146">
        <v>-6.9999999999998952E-3</v>
      </c>
      <c r="G78" s="148">
        <v>800000</v>
      </c>
      <c r="H78" s="240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161</v>
      </c>
      <c r="Z78" s="117">
        <v>7.2999999999999954E-2</v>
      </c>
      <c r="AA78" s="117">
        <v>9.000000000000008E-2</v>
      </c>
      <c r="AB78" s="117">
        <v>7.4999999999999956E-2</v>
      </c>
      <c r="AC78" s="117">
        <v>4.6000000000000041E-2</v>
      </c>
      <c r="AD78" s="117">
        <v>4.1000000000000147E-2</v>
      </c>
      <c r="AE78" s="117">
        <v>6.2999999999999945E-2</v>
      </c>
      <c r="AF78" s="117">
        <v>4.4999999999999929E-2</v>
      </c>
      <c r="AG78" s="117">
        <v>8.8999999999999968E-2</v>
      </c>
      <c r="AH78" s="117">
        <v>0.10000000000000009</v>
      </c>
      <c r="AI78" s="117">
        <v>0.125</v>
      </c>
      <c r="AJ78" s="117">
        <v>0.10299999999999998</v>
      </c>
      <c r="AK78" s="117">
        <v>9.4000000000000083E-2</v>
      </c>
      <c r="AL78" s="117">
        <v>7.7999999999999847E-2</v>
      </c>
      <c r="AM78" s="117">
        <v>8.3000000000000185E-2</v>
      </c>
      <c r="AN78" s="117">
        <v>8.0000000000000071E-2</v>
      </c>
      <c r="AO78" s="117">
        <v>0.10499999999999998</v>
      </c>
      <c r="AP78" s="117">
        <v>0.1080000000000001</v>
      </c>
      <c r="AQ78" s="117">
        <v>0.10200000000000009</v>
      </c>
      <c r="AR78" s="117">
        <v>8.2000000000000073E-2</v>
      </c>
      <c r="AS78" s="117">
        <v>5.9999999999999831E-2</v>
      </c>
      <c r="AT78" s="4">
        <v>0.63299999999999979</v>
      </c>
      <c r="AU78" s="4">
        <v>0.68300000000000005</v>
      </c>
    </row>
    <row r="79" spans="1:47" ht="6.95" customHeight="1">
      <c r="A79" s="306"/>
      <c r="B79" s="14" t="s">
        <v>194</v>
      </c>
      <c r="C79" s="110">
        <v>44227</v>
      </c>
      <c r="D79" s="114" t="s">
        <v>11</v>
      </c>
      <c r="E79" s="82">
        <v>1.35</v>
      </c>
      <c r="F79" s="53">
        <v>5.0000000000001155E-3</v>
      </c>
      <c r="G79" s="15">
        <v>680000</v>
      </c>
      <c r="H79" s="136" t="s">
        <v>128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162</v>
      </c>
      <c r="Z79" s="117">
        <v>-3.1000000000000139E-2</v>
      </c>
      <c r="AA79" s="117">
        <v>-2.4999999999999911E-2</v>
      </c>
      <c r="AB79" s="117">
        <v>-2.4999999999999911E-2</v>
      </c>
      <c r="AC79" s="117">
        <v>-4.0000000000000036E-2</v>
      </c>
      <c r="AD79" s="117">
        <v>-2.4999999999999911E-2</v>
      </c>
      <c r="AE79" s="117">
        <v>-1.0000000000000009E-2</v>
      </c>
      <c r="AF79" s="117">
        <v>-2.4999999999999911E-2</v>
      </c>
      <c r="AG79" s="117">
        <v>-8.0000000000000071E-3</v>
      </c>
      <c r="AH79" s="117">
        <v>-4.9999999999998934E-3</v>
      </c>
      <c r="AI79" s="117">
        <v>1.2000000000000011E-2</v>
      </c>
      <c r="AJ79" s="117">
        <v>3.0000000000001137E-3</v>
      </c>
      <c r="AK79" s="117">
        <v>1.0000000000001119E-3</v>
      </c>
      <c r="AL79" s="117">
        <v>0</v>
      </c>
      <c r="AM79" s="117">
        <v>0</v>
      </c>
      <c r="AN79" s="117">
        <v>2.0000000000000018E-3</v>
      </c>
      <c r="AO79" s="117">
        <v>4.9999999999998934E-3</v>
      </c>
      <c r="AP79" s="117">
        <v>3.0000000000001137E-3</v>
      </c>
      <c r="AQ79" s="117">
        <v>-2.9999999999998916E-3</v>
      </c>
      <c r="AR79" s="117">
        <v>-1.8000000000000016E-2</v>
      </c>
      <c r="AS79" s="117">
        <v>-3.0000000000000027E-2</v>
      </c>
      <c r="AT79" s="4">
        <v>5.2999999999999936E-2</v>
      </c>
      <c r="AU79" s="4">
        <v>4.7999999999999821E-2</v>
      </c>
    </row>
    <row r="80" spans="1:47" ht="6.95" customHeight="1">
      <c r="A80" s="306"/>
      <c r="B80" s="14" t="s">
        <v>189</v>
      </c>
      <c r="C80" s="110">
        <v>44136</v>
      </c>
      <c r="D80" s="114" t="s">
        <v>11</v>
      </c>
      <c r="E80" s="82">
        <v>1.331</v>
      </c>
      <c r="F80" s="53">
        <v>4.9999999999998934E-3</v>
      </c>
      <c r="G80" s="15">
        <v>1520000</v>
      </c>
      <c r="H80" s="137" t="s">
        <v>129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184</v>
      </c>
      <c r="Z80" s="118">
        <v>2.200000000000002E-2</v>
      </c>
      <c r="AA80" s="118">
        <v>3.499999999999992E-2</v>
      </c>
      <c r="AB80" s="118">
        <v>3.499999999999992E-2</v>
      </c>
      <c r="AC80" s="118">
        <v>2.4000000000000021E-2</v>
      </c>
      <c r="AD80" s="118">
        <v>3.0999999999999917E-2</v>
      </c>
      <c r="AE80" s="118">
        <v>2.200000000000002E-2</v>
      </c>
      <c r="AF80" s="118">
        <v>1.1000000000000121E-2</v>
      </c>
      <c r="AG80" s="118">
        <v>1.9000000000000128E-2</v>
      </c>
      <c r="AH80" s="118">
        <v>-8.0000000000000071E-3</v>
      </c>
      <c r="AI80" s="118">
        <v>7.0000000000001172E-3</v>
      </c>
      <c r="AJ80" s="118">
        <v>-4.4999999999999929E-2</v>
      </c>
      <c r="AK80" s="118">
        <v>-5.600000000000005E-2</v>
      </c>
      <c r="AL80" s="118">
        <v>-5.7999999999999829E-2</v>
      </c>
      <c r="AM80" s="118">
        <v>-4.8000000000000043E-2</v>
      </c>
      <c r="AN80" s="118">
        <v>-5.8000000000000052E-2</v>
      </c>
      <c r="AO80" s="118">
        <v>-3.6999999999999922E-2</v>
      </c>
      <c r="AP80" s="118">
        <v>-4.4000000000000039E-2</v>
      </c>
      <c r="AQ80" s="118">
        <v>-5.1000000000000156E-2</v>
      </c>
      <c r="AR80" s="118">
        <v>-5.699999999999994E-2</v>
      </c>
      <c r="AS80" s="118">
        <v>-3.8999999999999924E-2</v>
      </c>
    </row>
    <row r="81" spans="1:47" ht="6.95" customHeight="1">
      <c r="A81" s="306"/>
      <c r="B81" s="14" t="s">
        <v>172</v>
      </c>
      <c r="C81" s="110">
        <v>44160</v>
      </c>
      <c r="D81" s="114" t="s">
        <v>5</v>
      </c>
      <c r="E81" s="82">
        <v>1.3360000000000001</v>
      </c>
      <c r="F81" s="53">
        <v>5.0000000000001155E-3</v>
      </c>
      <c r="G81" s="15">
        <v>880000</v>
      </c>
      <c r="H81" s="241">
        <v>0.14600000000000013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124" t="s">
        <v>185</v>
      </c>
      <c r="Z81" s="119">
        <v>6.800000000000006E-2</v>
      </c>
      <c r="AA81" s="119">
        <v>6.9000000000000172E-2</v>
      </c>
      <c r="AB81" s="119">
        <v>6.800000000000006E-2</v>
      </c>
      <c r="AC81" s="119">
        <v>6.5999999999999837E-2</v>
      </c>
      <c r="AD81" s="119">
        <v>6.4999999999999947E-2</v>
      </c>
      <c r="AE81" s="119">
        <v>6.6999999999999948E-2</v>
      </c>
      <c r="AF81" s="119">
        <v>6.4999999999999947E-2</v>
      </c>
      <c r="AG81" s="119">
        <v>5.699999999999994E-2</v>
      </c>
      <c r="AH81" s="119">
        <v>5.0000000000000044E-2</v>
      </c>
      <c r="AI81" s="119">
        <v>4.8999999999999932E-2</v>
      </c>
      <c r="AJ81" s="119">
        <v>5.0000000000000044E-2</v>
      </c>
      <c r="AK81" s="119">
        <v>4.9000000000000155E-2</v>
      </c>
      <c r="AL81" s="119">
        <v>4.9999999999999822E-2</v>
      </c>
      <c r="AM81" s="119">
        <v>4.8000000000000043E-2</v>
      </c>
      <c r="AN81" s="119">
        <v>5.0000000000000044E-2</v>
      </c>
      <c r="AO81" s="119">
        <v>4.8000000000000043E-2</v>
      </c>
      <c r="AP81" s="119">
        <v>4.4999999999999929E-2</v>
      </c>
      <c r="AQ81" s="119">
        <v>4.2999999999999927E-2</v>
      </c>
      <c r="AR81" s="119">
        <v>4.2999999999999927E-2</v>
      </c>
      <c r="AS81" s="119">
        <v>4.4000000000000039E-2</v>
      </c>
    </row>
    <row r="82" spans="1:47" ht="6.95" customHeight="1">
      <c r="A82" s="307"/>
      <c r="B82" s="14"/>
      <c r="C82" s="110"/>
      <c r="D82" s="114"/>
      <c r="E82" s="82"/>
      <c r="F82" s="53"/>
      <c r="G82" s="15"/>
      <c r="H82" s="243"/>
      <c r="I82" s="8"/>
      <c r="J82" s="34"/>
      <c r="K82" s="12"/>
      <c r="L82" s="13"/>
      <c r="M82" s="49"/>
      <c r="N82" s="49"/>
      <c r="O82" s="12"/>
      <c r="P82" s="12"/>
      <c r="Q82" s="73"/>
      <c r="R82" s="31"/>
      <c r="S82" s="41"/>
      <c r="Y82" s="39" t="s">
        <v>186</v>
      </c>
      <c r="Z82" s="132">
        <v>0.16499999999999981</v>
      </c>
      <c r="AA82" s="132">
        <v>0.16500000000000004</v>
      </c>
      <c r="AB82" s="132">
        <v>0.16500000000000004</v>
      </c>
      <c r="AC82" s="132">
        <v>0.16300000000000003</v>
      </c>
      <c r="AD82" s="132">
        <v>0.15999999999999992</v>
      </c>
      <c r="AE82" s="132">
        <v>0.15799999999999992</v>
      </c>
      <c r="AF82" s="132">
        <v>0.16300000000000003</v>
      </c>
      <c r="AG82" s="132">
        <v>0.15800000000000014</v>
      </c>
      <c r="AH82" s="132">
        <v>0.15200000000000014</v>
      </c>
      <c r="AI82" s="132">
        <v>0.14500000000000002</v>
      </c>
      <c r="AJ82" s="132">
        <v>0.14100000000000001</v>
      </c>
      <c r="AK82" s="132">
        <v>0.13900000000000001</v>
      </c>
      <c r="AL82" s="132">
        <v>0.13600000000000012</v>
      </c>
      <c r="AM82" s="132">
        <v>0.12999999999999989</v>
      </c>
      <c r="AN82" s="132">
        <v>0.12400000000000011</v>
      </c>
      <c r="AO82" s="132">
        <v>0.11699999999999999</v>
      </c>
      <c r="AP82" s="132">
        <v>0.10899999999999999</v>
      </c>
      <c r="AQ82" s="132">
        <v>0.10400000000000009</v>
      </c>
      <c r="AR82" s="132">
        <v>0.10099999999999998</v>
      </c>
      <c r="AS82" s="132">
        <v>9.7999999999999865E-2</v>
      </c>
    </row>
    <row r="83" spans="1:47" ht="6.95" customHeight="1">
      <c r="A83" s="308" t="s">
        <v>166</v>
      </c>
      <c r="B83" s="210" t="s">
        <v>294</v>
      </c>
      <c r="C83" s="109">
        <v>45369</v>
      </c>
      <c r="D83" s="115" t="s">
        <v>13</v>
      </c>
      <c r="E83" s="133">
        <v>1.3939999999999999</v>
      </c>
      <c r="F83" s="142">
        <v>-2.0000000000000018E-2</v>
      </c>
      <c r="G83" s="128">
        <v>360000</v>
      </c>
      <c r="H83" s="134"/>
      <c r="I83" s="8"/>
      <c r="J83" s="34"/>
      <c r="K83" s="12"/>
      <c r="L83" s="13"/>
      <c r="M83" s="49"/>
      <c r="N83" s="49"/>
      <c r="O83" s="12"/>
      <c r="P83" s="12"/>
      <c r="Q83" s="73"/>
      <c r="R83" s="31"/>
      <c r="S83" s="41"/>
      <c r="Y83" s="37" t="s">
        <v>150</v>
      </c>
      <c r="Z83" s="118">
        <v>0.20100000000000007</v>
      </c>
      <c r="AA83" s="118">
        <v>0.19999999999999996</v>
      </c>
      <c r="AB83" s="118">
        <v>0.19799999999999995</v>
      </c>
      <c r="AC83" s="118">
        <v>0.19800000000000018</v>
      </c>
      <c r="AD83" s="118">
        <v>0.19199999999999995</v>
      </c>
      <c r="AE83" s="118">
        <v>0.18999999999999995</v>
      </c>
      <c r="AF83" s="118">
        <v>0.19299999999999984</v>
      </c>
      <c r="AG83" s="118">
        <v>0.18799999999999994</v>
      </c>
      <c r="AH83" s="118">
        <v>0.18700000000000006</v>
      </c>
      <c r="AI83" s="118">
        <v>0.18199999999999994</v>
      </c>
      <c r="AJ83" s="118">
        <v>0.18299999999999983</v>
      </c>
      <c r="AK83" s="118">
        <v>0.18299999999999983</v>
      </c>
      <c r="AL83" s="118">
        <v>0.17999999999999994</v>
      </c>
      <c r="AM83" s="118">
        <v>0.17200000000000015</v>
      </c>
      <c r="AN83" s="118">
        <v>0.17000000000000015</v>
      </c>
      <c r="AO83" s="118">
        <v>0.16300000000000003</v>
      </c>
      <c r="AP83" s="118">
        <v>0.16199999999999992</v>
      </c>
      <c r="AQ83" s="118">
        <v>0.16100000000000003</v>
      </c>
      <c r="AR83" s="118">
        <v>0.16100000000000003</v>
      </c>
      <c r="AS83" s="118">
        <v>0.15900000000000003</v>
      </c>
      <c r="AT83" s="4">
        <v>0.12399999999999989</v>
      </c>
      <c r="AU83" s="4">
        <v>0.1379999999999999</v>
      </c>
    </row>
    <row r="84" spans="1:47" ht="6.95" customHeight="1">
      <c r="A84" s="309"/>
      <c r="B84" s="199" t="s">
        <v>293</v>
      </c>
      <c r="C84" s="110">
        <v>45305</v>
      </c>
      <c r="D84" s="114" t="s">
        <v>11</v>
      </c>
      <c r="E84" s="82">
        <v>1.393</v>
      </c>
      <c r="F84" s="53">
        <v>-1.8999999999999906E-2</v>
      </c>
      <c r="G84" s="15">
        <v>580000</v>
      </c>
      <c r="H84" s="135"/>
      <c r="I84" s="8"/>
      <c r="J84" s="34"/>
      <c r="K84" s="12"/>
      <c r="L84" s="13"/>
      <c r="M84" s="49"/>
      <c r="N84" s="49"/>
      <c r="O84" s="12"/>
      <c r="P84" s="12"/>
      <c r="Q84" s="73"/>
      <c r="R84" s="31"/>
      <c r="S84" s="41"/>
      <c r="Y84" s="37" t="s">
        <v>149</v>
      </c>
      <c r="Z84" s="118">
        <v>0.18000000000000016</v>
      </c>
      <c r="AA84" s="118">
        <v>0.18000000000000016</v>
      </c>
      <c r="AB84" s="118">
        <v>0.17999999999999994</v>
      </c>
      <c r="AC84" s="118">
        <v>0.17999999999999994</v>
      </c>
      <c r="AD84" s="118">
        <v>0.17900000000000005</v>
      </c>
      <c r="AE84" s="118">
        <v>0.17999999999999994</v>
      </c>
      <c r="AF84" s="118">
        <v>0.17999999999999994</v>
      </c>
      <c r="AG84" s="118">
        <v>0.17899999999999983</v>
      </c>
      <c r="AH84" s="118">
        <v>0.17900000000000005</v>
      </c>
      <c r="AI84" s="118">
        <v>0.17900000000000005</v>
      </c>
      <c r="AJ84" s="118">
        <v>0.17900000000000005</v>
      </c>
      <c r="AK84" s="118">
        <v>0.17900000000000005</v>
      </c>
      <c r="AL84" s="118">
        <v>0.17899999999999983</v>
      </c>
      <c r="AM84" s="118">
        <v>0.17500000000000004</v>
      </c>
      <c r="AN84" s="118">
        <v>0.17600000000000016</v>
      </c>
      <c r="AO84" s="118">
        <v>0.17199999999999993</v>
      </c>
      <c r="AP84" s="118">
        <v>0.17199999999999993</v>
      </c>
      <c r="AQ84" s="118">
        <v>0.17299999999999982</v>
      </c>
      <c r="AR84" s="118">
        <v>0.17300000000000004</v>
      </c>
      <c r="AS84" s="118">
        <v>0.17400000000000015</v>
      </c>
      <c r="AT84" s="4">
        <v>0.16900000000000004</v>
      </c>
      <c r="AU84" s="4">
        <v>0.19099999999999984</v>
      </c>
    </row>
    <row r="85" spans="1:47" ht="6.95" customHeight="1">
      <c r="A85" s="309"/>
      <c r="B85" s="199" t="s">
        <v>197</v>
      </c>
      <c r="C85" s="110">
        <v>44971</v>
      </c>
      <c r="D85" s="114" t="s">
        <v>6</v>
      </c>
      <c r="E85" s="82">
        <v>1.3819999999999999</v>
      </c>
      <c r="F85" s="53">
        <v>-1.5000000000000124E-2</v>
      </c>
      <c r="G85" s="15">
        <v>320000</v>
      </c>
      <c r="H85" s="136" t="s">
        <v>182</v>
      </c>
      <c r="I85" s="8"/>
      <c r="J85" s="34"/>
      <c r="K85" s="12"/>
      <c r="L85" s="13"/>
      <c r="M85" s="49"/>
      <c r="N85" s="49"/>
      <c r="O85" s="12"/>
      <c r="P85" s="12"/>
      <c r="Q85" s="73"/>
      <c r="R85" s="31"/>
      <c r="S85" s="41"/>
      <c r="Y85" s="37" t="s">
        <v>151</v>
      </c>
      <c r="Z85" s="118">
        <v>0.16199999999999992</v>
      </c>
      <c r="AA85" s="118">
        <v>0.16199999999999992</v>
      </c>
      <c r="AB85" s="118">
        <v>0.15900000000000003</v>
      </c>
      <c r="AC85" s="118">
        <v>0.15900000000000003</v>
      </c>
      <c r="AD85" s="118">
        <v>0.15700000000000003</v>
      </c>
      <c r="AE85" s="118">
        <v>0.15599999999999992</v>
      </c>
      <c r="AF85" s="118">
        <v>0.15599999999999992</v>
      </c>
      <c r="AG85" s="118">
        <v>0.15599999999999992</v>
      </c>
      <c r="AH85" s="118">
        <v>0.15500000000000003</v>
      </c>
      <c r="AI85" s="118">
        <v>0.15399999999999991</v>
      </c>
      <c r="AJ85" s="118">
        <v>0.15399999999999991</v>
      </c>
      <c r="AK85" s="118">
        <v>0.15199999999999991</v>
      </c>
      <c r="AL85" s="118">
        <v>0.15100000000000002</v>
      </c>
      <c r="AM85" s="118">
        <v>0.14400000000000013</v>
      </c>
      <c r="AN85" s="118">
        <v>0.14100000000000001</v>
      </c>
      <c r="AO85" s="118">
        <v>0.13600000000000012</v>
      </c>
      <c r="AP85" s="118">
        <v>0.13500000000000001</v>
      </c>
      <c r="AQ85" s="118">
        <v>0.13500000000000001</v>
      </c>
      <c r="AR85" s="118">
        <v>0.13500000000000001</v>
      </c>
      <c r="AS85" s="118">
        <v>0.13300000000000001</v>
      </c>
      <c r="AT85" s="4">
        <v>0.11399999999999988</v>
      </c>
      <c r="AU85" s="4">
        <v>0.13600000000000012</v>
      </c>
    </row>
    <row r="86" spans="1:47" ht="6.95" customHeight="1">
      <c r="A86" s="309"/>
      <c r="B86" s="130" t="s">
        <v>187</v>
      </c>
      <c r="C86" s="110">
        <v>44796</v>
      </c>
      <c r="D86" s="114" t="s">
        <v>6</v>
      </c>
      <c r="E86" s="82">
        <v>1.375</v>
      </c>
      <c r="F86" s="53">
        <v>-1.2999999999999901E-2</v>
      </c>
      <c r="G86" s="15">
        <v>1200000</v>
      </c>
      <c r="H86" s="137" t="s">
        <v>183</v>
      </c>
      <c r="I86" s="8"/>
      <c r="J86" s="34"/>
      <c r="K86" s="12"/>
      <c r="L86" s="13"/>
      <c r="M86" s="49"/>
      <c r="N86" s="49"/>
      <c r="O86" s="12"/>
      <c r="P86" s="12"/>
      <c r="Q86" s="73"/>
      <c r="R86" s="31"/>
      <c r="S86" s="41"/>
      <c r="Y86" s="37" t="s">
        <v>152</v>
      </c>
      <c r="Z86" s="118">
        <v>0.12600000000000011</v>
      </c>
      <c r="AA86" s="118">
        <v>0.12600000000000011</v>
      </c>
      <c r="AB86" s="118">
        <v>0.12599999999999989</v>
      </c>
      <c r="AC86" s="118">
        <v>0.127</v>
      </c>
      <c r="AD86" s="118">
        <v>0.12600000000000011</v>
      </c>
      <c r="AE86" s="118">
        <v>0.12600000000000011</v>
      </c>
      <c r="AF86" s="118">
        <v>0.127</v>
      </c>
      <c r="AG86" s="118">
        <v>0.12199999999999989</v>
      </c>
      <c r="AH86" s="118">
        <v>0.12000000000000011</v>
      </c>
      <c r="AI86" s="118">
        <v>0.12000000000000011</v>
      </c>
      <c r="AJ86" s="118">
        <v>0.12199999999999989</v>
      </c>
      <c r="AK86" s="118">
        <v>0.12200000000000011</v>
      </c>
      <c r="AL86" s="118">
        <v>0.12199999999999989</v>
      </c>
      <c r="AM86" s="118">
        <v>0.11499999999999999</v>
      </c>
      <c r="AN86" s="118">
        <v>0.1160000000000001</v>
      </c>
      <c r="AO86" s="118">
        <v>0.10899999999999999</v>
      </c>
      <c r="AP86" s="118">
        <v>0.10899999999999999</v>
      </c>
      <c r="AQ86" s="118">
        <v>0.10899999999999999</v>
      </c>
      <c r="AR86" s="118">
        <v>0.10999999999999988</v>
      </c>
      <c r="AS86" s="118">
        <v>0.1100000000000001</v>
      </c>
      <c r="AT86" s="4">
        <v>0.13500000000000023</v>
      </c>
      <c r="AU86" s="4">
        <v>0.17799999999999994</v>
      </c>
    </row>
    <row r="87" spans="1:47" ht="6.95" customHeight="1">
      <c r="A87" s="309"/>
      <c r="B87" s="130" t="s">
        <v>259</v>
      </c>
      <c r="C87" s="110">
        <v>44726</v>
      </c>
      <c r="D87" s="114" t="s">
        <v>6</v>
      </c>
      <c r="E87" s="82">
        <v>1.375</v>
      </c>
      <c r="F87" s="53">
        <v>-1.2999999999999901E-2</v>
      </c>
      <c r="G87" s="15">
        <v>900000</v>
      </c>
      <c r="H87" s="215">
        <v>0.11699999999999999</v>
      </c>
      <c r="I87" s="8"/>
      <c r="J87" s="34"/>
      <c r="K87" s="12"/>
      <c r="L87" s="13"/>
      <c r="M87" s="49"/>
      <c r="N87" s="49"/>
      <c r="O87" s="12"/>
      <c r="P87" s="12"/>
      <c r="Q87" s="73"/>
      <c r="R87" s="31"/>
      <c r="S87" s="41"/>
      <c r="Y87" s="37" t="s">
        <v>153</v>
      </c>
      <c r="Z87" s="118">
        <v>0.10499999999999998</v>
      </c>
      <c r="AA87" s="118">
        <v>0.10499999999999998</v>
      </c>
      <c r="AB87" s="118">
        <v>0.10499999999999998</v>
      </c>
      <c r="AC87" s="118">
        <v>0.10600000000000009</v>
      </c>
      <c r="AD87" s="118">
        <v>0.10599999999999987</v>
      </c>
      <c r="AE87" s="118">
        <v>0.10600000000000009</v>
      </c>
      <c r="AF87" s="118">
        <v>0.10600000000000009</v>
      </c>
      <c r="AG87" s="118">
        <v>0.10600000000000009</v>
      </c>
      <c r="AH87" s="118">
        <v>0.10600000000000009</v>
      </c>
      <c r="AI87" s="118">
        <v>0.10799999999999987</v>
      </c>
      <c r="AJ87" s="118">
        <v>0.11099999999999999</v>
      </c>
      <c r="AK87" s="118">
        <v>0.11199999999999988</v>
      </c>
      <c r="AL87" s="118">
        <v>0.1120000000000001</v>
      </c>
      <c r="AM87" s="118">
        <v>0.10399999999999987</v>
      </c>
      <c r="AN87" s="118">
        <v>0.10499999999999998</v>
      </c>
      <c r="AO87" s="118">
        <v>0.10199999999999987</v>
      </c>
      <c r="AP87" s="118">
        <v>0.10199999999999987</v>
      </c>
      <c r="AQ87" s="118">
        <v>0.10200000000000009</v>
      </c>
      <c r="AR87" s="118">
        <v>0.10299999999999998</v>
      </c>
      <c r="AS87" s="118">
        <v>0.1030000000000002</v>
      </c>
      <c r="AT87" s="4">
        <v>0.15599999999999969</v>
      </c>
      <c r="AU87" s="4">
        <v>0.14800000000000013</v>
      </c>
    </row>
    <row r="88" spans="1:47" ht="6.95" customHeight="1">
      <c r="A88" s="309"/>
      <c r="B88" s="130" t="s">
        <v>260</v>
      </c>
      <c r="C88" s="110">
        <v>44582</v>
      </c>
      <c r="D88" s="114" t="s">
        <v>9</v>
      </c>
      <c r="E88" s="82">
        <v>1.38</v>
      </c>
      <c r="F88" s="53">
        <v>-1.0000000000000009E-2</v>
      </c>
      <c r="G88" s="15">
        <v>600000</v>
      </c>
      <c r="H88" s="139"/>
      <c r="I88" s="8"/>
      <c r="J88" s="34"/>
      <c r="K88" s="12"/>
      <c r="L88" s="13"/>
      <c r="M88" s="49"/>
      <c r="N88" s="49"/>
      <c r="O88" s="12"/>
      <c r="P88" s="12"/>
      <c r="Q88" s="73"/>
      <c r="R88" s="31"/>
      <c r="S88" s="41"/>
      <c r="Y88" s="37" t="s">
        <v>154</v>
      </c>
      <c r="Z88" s="118">
        <v>0.39500000000000002</v>
      </c>
      <c r="AA88" s="118">
        <v>0.38800000000000012</v>
      </c>
      <c r="AB88" s="118">
        <v>0.38700000000000001</v>
      </c>
      <c r="AC88" s="118">
        <v>0.38300000000000001</v>
      </c>
      <c r="AD88" s="118">
        <v>0.371</v>
      </c>
      <c r="AE88" s="118">
        <v>0.36599999999999988</v>
      </c>
      <c r="AF88" s="118">
        <v>0.36599999999999988</v>
      </c>
      <c r="AG88" s="118">
        <v>0.36399999999999988</v>
      </c>
      <c r="AH88" s="118">
        <v>0.3620000000000001</v>
      </c>
      <c r="AI88" s="118">
        <v>0.35899999999999999</v>
      </c>
      <c r="AJ88" s="118">
        <v>0.35999999999999988</v>
      </c>
      <c r="AK88" s="118">
        <v>0.35799999999999987</v>
      </c>
      <c r="AL88" s="118">
        <v>0.35499999999999998</v>
      </c>
      <c r="AM88" s="118">
        <v>0.3470000000000002</v>
      </c>
      <c r="AN88" s="118">
        <v>0.3450000000000002</v>
      </c>
      <c r="AO88" s="118">
        <v>0.33800000000000008</v>
      </c>
      <c r="AP88" s="118">
        <v>0.33799999999999986</v>
      </c>
      <c r="AQ88" s="118">
        <v>0.33699999999999997</v>
      </c>
      <c r="AR88" s="118">
        <v>0.33699999999999997</v>
      </c>
      <c r="AS88" s="118">
        <v>0.33400000000000007</v>
      </c>
      <c r="AT88" s="4">
        <v>0.35399999999999987</v>
      </c>
      <c r="AU88" s="4">
        <v>0.29200000000000026</v>
      </c>
    </row>
    <row r="89" spans="1:47" ht="6.95" customHeight="1">
      <c r="A89" s="309"/>
      <c r="B89" s="130" t="s">
        <v>261</v>
      </c>
      <c r="C89" s="110">
        <v>44430</v>
      </c>
      <c r="D89" s="114" t="s">
        <v>11</v>
      </c>
      <c r="E89" s="82">
        <v>1.3919999999999999</v>
      </c>
      <c r="F89" s="53">
        <v>-5.0000000000001155E-3</v>
      </c>
      <c r="G89" s="15">
        <v>450000</v>
      </c>
      <c r="H89" s="139" t="s">
        <v>170</v>
      </c>
      <c r="I89" s="8"/>
      <c r="J89" s="34"/>
      <c r="K89" s="12"/>
      <c r="L89" s="13"/>
      <c r="M89" s="49"/>
      <c r="N89" s="49"/>
      <c r="O89" s="12"/>
      <c r="P89" s="12"/>
      <c r="Q89" s="73"/>
      <c r="R89" s="31"/>
      <c r="S89" s="41"/>
      <c r="Y89" s="37" t="s">
        <v>155</v>
      </c>
      <c r="Z89" s="118">
        <v>0.47399999999999998</v>
      </c>
      <c r="AA89" s="118">
        <v>0.47199999999999998</v>
      </c>
      <c r="AB89" s="118">
        <v>0.47300000000000009</v>
      </c>
      <c r="AC89" s="118">
        <v>0.47099999999999986</v>
      </c>
      <c r="AD89" s="118">
        <v>0.46700000000000008</v>
      </c>
      <c r="AE89" s="118">
        <v>0.46399999999999997</v>
      </c>
      <c r="AF89" s="118">
        <v>0.46500000000000008</v>
      </c>
      <c r="AG89" s="118">
        <v>0.45999999999999996</v>
      </c>
      <c r="AH89" s="118">
        <v>0.45999999999999996</v>
      </c>
      <c r="AI89" s="118">
        <v>0.45999999999999996</v>
      </c>
      <c r="AJ89" s="118">
        <v>0.45999999999999996</v>
      </c>
      <c r="AK89" s="118">
        <v>0.46200000000000019</v>
      </c>
      <c r="AL89" s="118">
        <v>0.45999999999999996</v>
      </c>
      <c r="AM89" s="118">
        <v>0.45099999999999985</v>
      </c>
      <c r="AN89" s="118">
        <v>0.45100000000000007</v>
      </c>
      <c r="AO89" s="118">
        <v>0.44300000000000006</v>
      </c>
      <c r="AP89" s="118">
        <v>0.44299999999999984</v>
      </c>
      <c r="AQ89" s="118">
        <v>0.44399999999999995</v>
      </c>
      <c r="AR89" s="118">
        <v>0.44500000000000006</v>
      </c>
      <c r="AS89" s="118">
        <v>0.44599999999999995</v>
      </c>
      <c r="AT89" s="4">
        <v>0.4910000000000001</v>
      </c>
      <c r="AU89" s="4">
        <v>0.41799999999999971</v>
      </c>
    </row>
    <row r="90" spans="1:47" ht="6.95" customHeight="1">
      <c r="A90" s="309"/>
      <c r="B90" s="130" t="s">
        <v>262</v>
      </c>
      <c r="C90" s="110">
        <v>44344</v>
      </c>
      <c r="D90" s="114" t="s">
        <v>9</v>
      </c>
      <c r="E90" s="82">
        <v>1.389</v>
      </c>
      <c r="F90" s="53">
        <v>0</v>
      </c>
      <c r="G90" s="15">
        <v>400000</v>
      </c>
      <c r="H90" s="138" t="s">
        <v>171</v>
      </c>
      <c r="I90" s="8"/>
      <c r="J90" s="34"/>
      <c r="K90" s="12"/>
      <c r="L90" s="13"/>
      <c r="M90" s="49"/>
      <c r="N90" s="49"/>
      <c r="O90" s="12"/>
      <c r="P90" s="12"/>
      <c r="Q90" s="73"/>
      <c r="R90" s="31"/>
      <c r="S90" s="41"/>
      <c r="Y90" s="37" t="s">
        <v>158</v>
      </c>
      <c r="Z90" s="118">
        <v>0.34800000000000009</v>
      </c>
      <c r="AA90" s="118">
        <v>0.33800000000000008</v>
      </c>
      <c r="AB90" s="118">
        <v>0.33299999999999996</v>
      </c>
      <c r="AC90" s="118">
        <v>0.34400000000000008</v>
      </c>
      <c r="AD90" s="118">
        <v>0.32400000000000007</v>
      </c>
      <c r="AE90" s="118">
        <v>0.30299999999999994</v>
      </c>
      <c r="AF90" s="118">
        <v>0.31599999999999984</v>
      </c>
      <c r="AG90" s="118">
        <v>0.29400000000000004</v>
      </c>
      <c r="AH90" s="118">
        <v>0.28800000000000003</v>
      </c>
      <c r="AI90" s="118">
        <v>0.2629999999999999</v>
      </c>
      <c r="AJ90" s="118">
        <v>0.27</v>
      </c>
      <c r="AK90" s="118">
        <v>0.2629999999999999</v>
      </c>
      <c r="AL90" s="118">
        <v>0.25499999999999989</v>
      </c>
      <c r="AM90" s="118">
        <v>0.24199999999999999</v>
      </c>
      <c r="AN90" s="118">
        <v>0.23599999999999999</v>
      </c>
      <c r="AO90" s="118">
        <v>0.22100000000000009</v>
      </c>
      <c r="AP90" s="118">
        <v>0.21299999999999986</v>
      </c>
      <c r="AQ90" s="118">
        <v>0.21099999999999985</v>
      </c>
      <c r="AR90" s="118">
        <v>0.22500000000000009</v>
      </c>
      <c r="AS90" s="118">
        <v>0.22299999999999986</v>
      </c>
      <c r="AT90" s="4">
        <v>0.17100000000000004</v>
      </c>
      <c r="AU90" s="4">
        <v>0.1180000000000001</v>
      </c>
    </row>
    <row r="91" spans="1:47" ht="6.95" customHeight="1">
      <c r="A91" s="309"/>
      <c r="B91" s="130" t="s">
        <v>263</v>
      </c>
      <c r="C91" s="110">
        <v>44333</v>
      </c>
      <c r="D91" s="114" t="s">
        <v>13</v>
      </c>
      <c r="E91" s="82">
        <v>1.39</v>
      </c>
      <c r="F91" s="53">
        <v>2.0000000000000018E-3</v>
      </c>
      <c r="G91" s="15">
        <v>900000</v>
      </c>
      <c r="H91" s="216">
        <v>0.15900000000000003</v>
      </c>
      <c r="I91" s="8"/>
      <c r="J91" s="34"/>
      <c r="K91" s="12"/>
      <c r="L91" s="13"/>
      <c r="M91" s="49"/>
      <c r="N91" s="49"/>
      <c r="O91" s="12"/>
      <c r="P91" s="12"/>
      <c r="Q91" s="73"/>
      <c r="R91" s="31"/>
      <c r="S91" s="41"/>
      <c r="U91" s="8"/>
      <c r="Y91" s="37" t="s">
        <v>157</v>
      </c>
      <c r="Z91" s="118">
        <v>0.33499999999999996</v>
      </c>
      <c r="AA91" s="118">
        <v>0.33200000000000007</v>
      </c>
      <c r="AB91" s="118">
        <v>0.32699999999999996</v>
      </c>
      <c r="AC91" s="118">
        <v>0.32500000000000018</v>
      </c>
      <c r="AD91" s="118">
        <v>0.31600000000000006</v>
      </c>
      <c r="AE91" s="118">
        <v>0.31099999999999994</v>
      </c>
      <c r="AF91" s="118">
        <v>0.30699999999999994</v>
      </c>
      <c r="AG91" s="118">
        <v>0.29899999999999993</v>
      </c>
      <c r="AH91" s="118">
        <v>0.29800000000000004</v>
      </c>
      <c r="AI91" s="118">
        <v>0.29299999999999993</v>
      </c>
      <c r="AJ91" s="118">
        <v>0.29199999999999982</v>
      </c>
      <c r="AK91" s="118">
        <v>0.28299999999999992</v>
      </c>
      <c r="AL91" s="118">
        <v>0.27400000000000002</v>
      </c>
      <c r="AM91" s="118">
        <v>0.26300000000000012</v>
      </c>
      <c r="AN91" s="118">
        <v>0.25800000000000001</v>
      </c>
      <c r="AO91" s="118">
        <v>0.24700000000000011</v>
      </c>
      <c r="AP91" s="118">
        <v>0.23699999999999988</v>
      </c>
      <c r="AQ91" s="118">
        <v>0.23399999999999999</v>
      </c>
      <c r="AR91" s="118">
        <v>0.24</v>
      </c>
      <c r="AS91" s="118">
        <v>0.23599999999999999</v>
      </c>
      <c r="AT91" s="4">
        <v>0.29099999999999993</v>
      </c>
      <c r="AU91" s="4">
        <v>0.21799999999999997</v>
      </c>
    </row>
    <row r="92" spans="1:47" ht="6.95" customHeight="1">
      <c r="A92" s="309"/>
      <c r="B92" s="130" t="s">
        <v>264</v>
      </c>
      <c r="C92" s="110">
        <v>44248</v>
      </c>
      <c r="D92" s="114" t="s">
        <v>11</v>
      </c>
      <c r="E92" s="82">
        <v>1.385</v>
      </c>
      <c r="F92" s="53">
        <v>5.0000000000001155E-3</v>
      </c>
      <c r="G92" s="15">
        <v>280000</v>
      </c>
      <c r="H92" s="137"/>
      <c r="I92" s="8"/>
      <c r="J92" s="34"/>
      <c r="K92" s="12"/>
      <c r="L92" s="13"/>
      <c r="M92" s="49"/>
      <c r="N92" s="49"/>
      <c r="O92" s="12"/>
      <c r="P92" s="12"/>
      <c r="Q92" s="73"/>
      <c r="R92" s="31"/>
      <c r="S92" s="41"/>
      <c r="U92" s="10"/>
      <c r="Y92" s="26" t="s">
        <v>156</v>
      </c>
      <c r="Z92" s="119">
        <v>5.4000000000000048E-2</v>
      </c>
      <c r="AA92" s="119">
        <v>6.0000000000000053E-2</v>
      </c>
      <c r="AB92" s="125">
        <v>7.2000000000000064E-2</v>
      </c>
      <c r="AC92" s="247">
        <v>7.6999999999999957E-2</v>
      </c>
      <c r="AD92" s="127">
        <v>8.2000000000000073E-2</v>
      </c>
      <c r="AE92" s="126">
        <v>8.4999999999999964E-2</v>
      </c>
      <c r="AF92" s="119">
        <v>8.8999999999999968E-2</v>
      </c>
      <c r="AG92" s="119">
        <v>8.8999999999999968E-2</v>
      </c>
      <c r="AH92" s="119">
        <v>9.6999999999999975E-2</v>
      </c>
      <c r="AI92" s="119">
        <v>9.4000000000000083E-2</v>
      </c>
      <c r="AJ92" s="119">
        <v>9.6000000000000085E-2</v>
      </c>
      <c r="AK92" s="119">
        <v>9.4999999999999973E-2</v>
      </c>
      <c r="AL92" s="119">
        <v>9.099999999999997E-2</v>
      </c>
      <c r="AM92" s="119">
        <v>8.4000000000000075E-2</v>
      </c>
      <c r="AN92" s="119">
        <v>8.6000000000000076E-2</v>
      </c>
      <c r="AO92" s="119">
        <v>8.6000000000000076E-2</v>
      </c>
      <c r="AP92" s="119">
        <v>8.4000000000000075E-2</v>
      </c>
      <c r="AQ92" s="119">
        <v>8.2999999999999963E-2</v>
      </c>
      <c r="AR92" s="119">
        <v>8.2999999999999963E-2</v>
      </c>
      <c r="AS92" s="119">
        <v>7.6000000000000068E-2</v>
      </c>
      <c r="AT92" s="4">
        <v>5.4000000000000048E-2</v>
      </c>
    </row>
    <row r="93" spans="1:47" ht="6.95" customHeight="1">
      <c r="A93" s="309"/>
      <c r="B93" s="130" t="s">
        <v>265</v>
      </c>
      <c r="C93" s="110">
        <v>44214</v>
      </c>
      <c r="D93" s="114" t="s">
        <v>13</v>
      </c>
      <c r="E93" s="82">
        <v>1.379</v>
      </c>
      <c r="F93" s="53">
        <v>4.9999999999998934E-3</v>
      </c>
      <c r="G93" s="15">
        <v>440000</v>
      </c>
      <c r="H93" s="136"/>
      <c r="I93" s="8"/>
      <c r="J93" s="12"/>
      <c r="K93" s="12"/>
      <c r="L93" s="13"/>
      <c r="M93" s="49"/>
      <c r="N93" s="49"/>
      <c r="O93" s="12"/>
      <c r="P93" s="12"/>
      <c r="Q93" s="73"/>
      <c r="R93" s="31"/>
      <c r="S93" s="34"/>
      <c r="U93" s="10"/>
      <c r="Y93" s="85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</row>
    <row r="94" spans="1:47" ht="6.95" customHeight="1">
      <c r="A94" s="309"/>
      <c r="B94" s="130" t="s">
        <v>266</v>
      </c>
      <c r="C94" s="110">
        <v>44122</v>
      </c>
      <c r="D94" s="114" t="s">
        <v>11</v>
      </c>
      <c r="E94" s="82">
        <v>1.3620000000000001</v>
      </c>
      <c r="F94" s="53">
        <v>4.0000000000000036E-3</v>
      </c>
      <c r="G94" s="15">
        <v>290000</v>
      </c>
      <c r="H94" s="140"/>
      <c r="I94" s="8"/>
      <c r="J94" s="12"/>
      <c r="S94" s="34"/>
      <c r="U94" s="10"/>
      <c r="Y94" s="85"/>
      <c r="Z94" s="86"/>
      <c r="AA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</row>
    <row r="95" spans="1:47" ht="6.95" customHeight="1">
      <c r="A95" s="309"/>
      <c r="B95" s="130" t="s">
        <v>267</v>
      </c>
      <c r="C95" s="110">
        <v>43950</v>
      </c>
      <c r="D95" s="114" t="s">
        <v>5</v>
      </c>
      <c r="E95" s="82">
        <v>1.3280000000000001</v>
      </c>
      <c r="F95" s="53">
        <v>3.0000000000001137E-3</v>
      </c>
      <c r="G95" s="15">
        <v>1000000</v>
      </c>
      <c r="H95" s="140"/>
      <c r="I95" s="8"/>
      <c r="J95" s="12"/>
      <c r="S95" s="34"/>
      <c r="U95" s="8"/>
    </row>
    <row r="96" spans="1:47" ht="6.95" customHeight="1">
      <c r="A96" s="309"/>
      <c r="B96" s="130" t="s">
        <v>268</v>
      </c>
      <c r="C96" s="110">
        <v>43908</v>
      </c>
      <c r="D96" s="114" t="s">
        <v>5</v>
      </c>
      <c r="E96" s="82">
        <v>1.331</v>
      </c>
      <c r="F96" s="53">
        <v>9.9999999999988987E-4</v>
      </c>
      <c r="G96" s="15">
        <v>1210000</v>
      </c>
      <c r="H96" s="140"/>
      <c r="I96" s="8"/>
      <c r="J96" s="12"/>
      <c r="S96" s="34"/>
      <c r="U96" s="8"/>
    </row>
    <row r="97" spans="1:45" ht="6.4" customHeight="1">
      <c r="A97" s="310"/>
      <c r="B97" s="96" t="s">
        <v>269</v>
      </c>
      <c r="C97" s="102">
        <v>43865</v>
      </c>
      <c r="D97" s="104" t="s">
        <v>6</v>
      </c>
      <c r="E97" s="83">
        <v>1.3420000000000001</v>
      </c>
      <c r="F97" s="97">
        <v>1.0000000000001119E-3</v>
      </c>
      <c r="G97" s="113">
        <v>920000</v>
      </c>
      <c r="H97" s="141"/>
      <c r="I97" s="13"/>
      <c r="U97" s="10"/>
      <c r="Z97" s="93"/>
      <c r="AA97" s="28"/>
    </row>
    <row r="98" spans="1:45" ht="3" customHeight="1">
      <c r="A98" s="246"/>
      <c r="B98" s="34"/>
      <c r="C98" s="244"/>
      <c r="D98" s="35"/>
      <c r="E98" s="245"/>
      <c r="F98" s="245"/>
      <c r="G98" s="33"/>
      <c r="H98" s="34"/>
      <c r="I98" s="13"/>
      <c r="U98" s="10"/>
      <c r="Z98" s="93"/>
      <c r="AA98" s="28"/>
    </row>
    <row r="99" spans="1:45" ht="3.75" customHeight="1">
      <c r="A99" s="13"/>
      <c r="B99" s="34"/>
      <c r="C99" s="244"/>
      <c r="D99" s="35"/>
      <c r="E99" s="245"/>
      <c r="F99" s="245"/>
      <c r="G99" s="33"/>
      <c r="H99" s="16"/>
      <c r="I99" s="13"/>
      <c r="U99" s="10"/>
      <c r="Z99" s="93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93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90"/>
      <c r="AA101" s="90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77"/>
      <c r="L120" s="277"/>
      <c r="M120" s="277"/>
      <c r="N120" s="277"/>
      <c r="O120" s="277"/>
      <c r="P120" s="277"/>
      <c r="Q120" s="277"/>
      <c r="R120" s="277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93"/>
      <c r="B121" s="193"/>
      <c r="C121" s="193"/>
      <c r="D121" s="194"/>
      <c r="E121" s="194"/>
      <c r="F121" s="195"/>
      <c r="G121" s="195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96" customFormat="1" ht="6.4" customHeight="1">
      <c r="A122" s="166"/>
      <c r="B122" s="166"/>
      <c r="C122" s="166"/>
      <c r="D122" s="166"/>
      <c r="E122" s="166"/>
      <c r="F122" s="166"/>
      <c r="G122" s="166"/>
      <c r="H122" s="166"/>
      <c r="I122" s="166"/>
      <c r="J122" s="205"/>
      <c r="K122" s="205"/>
      <c r="L122" s="206"/>
      <c r="M122" s="207"/>
      <c r="N122" s="207"/>
      <c r="O122" s="205"/>
      <c r="P122" s="205"/>
      <c r="Q122" s="208"/>
      <c r="R122" s="209"/>
      <c r="S122" s="166"/>
    </row>
    <row r="123" spans="1:45" ht="6.4" customHeight="1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46:A57"/>
    <mergeCell ref="A58:A63"/>
    <mergeCell ref="A75:A77"/>
    <mergeCell ref="A68:A74"/>
    <mergeCell ref="A83:A97"/>
    <mergeCell ref="A64:A65"/>
    <mergeCell ref="A78:A8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/>
  <dimension ref="A1:Q74"/>
  <sheetViews>
    <sheetView workbookViewId="0">
      <selection sqref="A1:IV65536"/>
    </sheetView>
  </sheetViews>
  <sheetFormatPr defaultRowHeight="13.5"/>
  <cols>
    <col min="1" max="16384" width="8.88671875" style="81"/>
  </cols>
  <sheetData>
    <row r="1" spans="1:17" ht="16.5">
      <c r="A1" s="81" t="s">
        <v>18</v>
      </c>
      <c r="B1" s="81" t="s">
        <v>19</v>
      </c>
      <c r="C1" s="81" t="s">
        <v>20</v>
      </c>
      <c r="D1" s="81" t="s">
        <v>21</v>
      </c>
      <c r="E1" s="81" t="s">
        <v>22</v>
      </c>
      <c r="F1" s="81" t="s">
        <v>23</v>
      </c>
      <c r="G1" s="81" t="s">
        <v>24</v>
      </c>
      <c r="H1" s="81" t="s">
        <v>25</v>
      </c>
      <c r="I1" s="81" t="s">
        <v>26</v>
      </c>
      <c r="J1" s="81" t="s">
        <v>27</v>
      </c>
      <c r="K1" s="81" t="s">
        <v>28</v>
      </c>
      <c r="L1" s="81" t="s">
        <v>29</v>
      </c>
      <c r="M1" s="81" t="s">
        <v>30</v>
      </c>
      <c r="N1" s="81" t="s">
        <v>133</v>
      </c>
      <c r="O1" s="81" t="s">
        <v>31</v>
      </c>
      <c r="P1" s="81" t="s">
        <v>169</v>
      </c>
      <c r="Q1" s="81" t="s">
        <v>191</v>
      </c>
    </row>
    <row r="2" spans="1:17" ht="16.5">
      <c r="A2" s="81" t="s">
        <v>32</v>
      </c>
      <c r="B2" s="81">
        <v>1.2470000000000001</v>
      </c>
      <c r="C2" s="81">
        <v>1.2030000000000001</v>
      </c>
      <c r="D2" s="81">
        <v>1.1659999999999999</v>
      </c>
      <c r="E2" s="81">
        <v>1.1579999999999999</v>
      </c>
      <c r="F2" s="81">
        <v>1.216</v>
      </c>
      <c r="G2" s="81">
        <v>1.2430000000000001</v>
      </c>
      <c r="H2" s="81">
        <v>1.2470000000000001</v>
      </c>
      <c r="I2" s="81">
        <v>1.216</v>
      </c>
      <c r="J2" s="81">
        <v>1.2729999999999999</v>
      </c>
      <c r="K2" s="81">
        <v>1.2769999999999999</v>
      </c>
      <c r="L2" s="81">
        <v>1.3080000000000001</v>
      </c>
      <c r="M2" s="81">
        <v>1.32</v>
      </c>
      <c r="N2" s="81">
        <v>1.3120000000000001</v>
      </c>
      <c r="O2" s="81">
        <v>1.3069999999999999</v>
      </c>
      <c r="P2" s="81">
        <v>1.2949999999999999</v>
      </c>
      <c r="Q2" s="81">
        <v>1.3149999999999999</v>
      </c>
    </row>
    <row r="3" spans="1:17" ht="16.5">
      <c r="A3" s="81" t="s">
        <v>66</v>
      </c>
      <c r="B3" s="81">
        <v>1.2609999999999999</v>
      </c>
      <c r="C3" s="81">
        <v>1.2390000000000001</v>
      </c>
      <c r="D3" s="81">
        <v>1.2270000000000001</v>
      </c>
      <c r="E3" s="81">
        <v>1.252</v>
      </c>
      <c r="F3" s="81">
        <v>1.2829999999999999</v>
      </c>
      <c r="G3" s="81">
        <v>1.296</v>
      </c>
      <c r="H3" s="81">
        <v>1.304</v>
      </c>
      <c r="I3" s="81">
        <v>1.3069999999999999</v>
      </c>
      <c r="J3" s="81">
        <v>1.3240000000000001</v>
      </c>
      <c r="K3" s="81">
        <v>1.345</v>
      </c>
      <c r="L3" s="81" t="s">
        <v>12</v>
      </c>
      <c r="M3" s="81" t="s">
        <v>12</v>
      </c>
      <c r="N3" s="81" t="s">
        <v>12</v>
      </c>
      <c r="O3" s="81" t="s">
        <v>12</v>
      </c>
      <c r="P3" s="81" t="s">
        <v>12</v>
      </c>
      <c r="Q3" s="81" t="s">
        <v>12</v>
      </c>
    </row>
    <row r="4" spans="1:17" ht="16.5">
      <c r="A4" s="81" t="s">
        <v>67</v>
      </c>
      <c r="B4" s="81">
        <v>1.004</v>
      </c>
      <c r="C4" s="81">
        <v>0.98199999999999998</v>
      </c>
      <c r="D4" s="81">
        <v>0.97099999999999997</v>
      </c>
      <c r="E4" s="81">
        <v>0.995</v>
      </c>
      <c r="F4" s="81">
        <v>1.026</v>
      </c>
      <c r="G4" s="81">
        <v>1.04</v>
      </c>
      <c r="H4" s="81">
        <v>1.0509999999999999</v>
      </c>
      <c r="I4" s="81">
        <v>1.083</v>
      </c>
      <c r="J4" s="81">
        <v>1.115</v>
      </c>
      <c r="K4" s="81">
        <v>1.137</v>
      </c>
      <c r="L4" s="81">
        <v>1.2370000000000001</v>
      </c>
      <c r="M4" s="81">
        <v>1.3560000000000001</v>
      </c>
      <c r="N4" s="81">
        <v>1.4450000000000001</v>
      </c>
      <c r="O4" s="81">
        <v>1.5229999999999999</v>
      </c>
      <c r="P4" s="81" t="s">
        <v>12</v>
      </c>
      <c r="Q4" s="81" t="s">
        <v>12</v>
      </c>
    </row>
    <row r="5" spans="1:17" ht="16.5">
      <c r="A5" s="81" t="s">
        <v>33</v>
      </c>
      <c r="B5" s="81">
        <v>1.2989999999999999</v>
      </c>
      <c r="C5" s="81">
        <v>1.2769999999999999</v>
      </c>
      <c r="D5" s="81">
        <v>1.266</v>
      </c>
      <c r="E5" s="81">
        <v>1.2909999999999999</v>
      </c>
      <c r="F5" s="81">
        <v>1.3220000000000001</v>
      </c>
      <c r="G5" s="81">
        <v>1.3360000000000001</v>
      </c>
      <c r="H5" s="81">
        <v>1.3440000000000001</v>
      </c>
      <c r="I5" s="81">
        <v>1.35</v>
      </c>
      <c r="J5" s="81">
        <v>1.371</v>
      </c>
      <c r="K5" s="81">
        <v>1.3939999999999999</v>
      </c>
      <c r="L5" s="81">
        <v>1.413</v>
      </c>
      <c r="M5" s="81" t="s">
        <v>12</v>
      </c>
      <c r="N5" s="81" t="s">
        <v>12</v>
      </c>
      <c r="O5" s="81" t="s">
        <v>12</v>
      </c>
      <c r="P5" s="81" t="s">
        <v>12</v>
      </c>
      <c r="Q5" s="81" t="s">
        <v>12</v>
      </c>
    </row>
    <row r="6" spans="1:17" ht="16.5">
      <c r="A6" s="81" t="s">
        <v>34</v>
      </c>
      <c r="B6" s="81">
        <v>1.2989999999999999</v>
      </c>
      <c r="C6" s="81">
        <v>1.2769999999999999</v>
      </c>
      <c r="D6" s="81">
        <v>1.266</v>
      </c>
      <c r="E6" s="81">
        <v>1.2909999999999999</v>
      </c>
      <c r="F6" s="81">
        <v>1.3220000000000001</v>
      </c>
      <c r="G6" s="81">
        <v>1.3360000000000001</v>
      </c>
      <c r="H6" s="81">
        <v>1.3440000000000001</v>
      </c>
      <c r="I6" s="81">
        <v>1.35</v>
      </c>
      <c r="J6" s="81">
        <v>1.371</v>
      </c>
      <c r="K6" s="81">
        <v>1.3939999999999999</v>
      </c>
      <c r="L6" s="81">
        <v>1.413</v>
      </c>
      <c r="M6" s="81">
        <v>1.546</v>
      </c>
      <c r="N6" s="81">
        <v>1.69</v>
      </c>
      <c r="O6" s="81">
        <v>1.738</v>
      </c>
      <c r="P6" s="81" t="s">
        <v>12</v>
      </c>
      <c r="Q6" s="81" t="s">
        <v>12</v>
      </c>
    </row>
    <row r="7" spans="1:17" ht="16.5">
      <c r="A7" s="81" t="s">
        <v>35</v>
      </c>
      <c r="B7" s="81">
        <v>1.371</v>
      </c>
      <c r="C7" s="81">
        <v>1.3420000000000001</v>
      </c>
      <c r="D7" s="81">
        <v>1.335</v>
      </c>
      <c r="E7" s="81">
        <v>1.36</v>
      </c>
      <c r="F7" s="81">
        <v>1.3939999999999999</v>
      </c>
      <c r="G7" s="81">
        <v>1.4019999999999999</v>
      </c>
      <c r="H7" s="81">
        <v>1.385</v>
      </c>
      <c r="I7" s="81">
        <v>1.385</v>
      </c>
      <c r="J7" s="81">
        <v>1.397</v>
      </c>
      <c r="K7" s="81">
        <v>1.409</v>
      </c>
      <c r="L7" s="81">
        <v>1.405</v>
      </c>
      <c r="M7" s="81">
        <v>1.427</v>
      </c>
      <c r="N7" s="81">
        <v>1.415</v>
      </c>
      <c r="O7" s="81">
        <v>1.403</v>
      </c>
      <c r="P7" s="81" t="s">
        <v>12</v>
      </c>
      <c r="Q7" s="81" t="s">
        <v>12</v>
      </c>
    </row>
    <row r="8" spans="1:17" ht="16.5">
      <c r="A8" s="81" t="s">
        <v>168</v>
      </c>
      <c r="B8" s="81">
        <v>1.331</v>
      </c>
      <c r="C8" s="81">
        <v>1.3029999999999999</v>
      </c>
      <c r="D8" s="81">
        <v>1.296</v>
      </c>
      <c r="E8" s="81">
        <v>1.3160000000000001</v>
      </c>
      <c r="F8" s="81">
        <v>1.353</v>
      </c>
      <c r="G8" s="81">
        <v>1.3620000000000001</v>
      </c>
      <c r="H8" s="81">
        <v>1.347</v>
      </c>
      <c r="I8" s="81">
        <v>1.347</v>
      </c>
      <c r="J8" s="81">
        <v>1.3640000000000001</v>
      </c>
      <c r="K8" s="81">
        <v>1.3759999999999999</v>
      </c>
      <c r="L8" s="81">
        <v>1.373</v>
      </c>
      <c r="M8" s="81">
        <v>1.3959999999999999</v>
      </c>
      <c r="N8" s="81">
        <v>1.383</v>
      </c>
      <c r="O8" s="81">
        <v>1.37</v>
      </c>
      <c r="P8" s="81" t="s">
        <v>12</v>
      </c>
      <c r="Q8" s="81" t="s">
        <v>12</v>
      </c>
    </row>
    <row r="9" spans="1:17" ht="16.5">
      <c r="A9" s="81" t="s">
        <v>68</v>
      </c>
      <c r="B9" s="81">
        <v>1.3680000000000001</v>
      </c>
      <c r="C9" s="81">
        <v>1.3360000000000001</v>
      </c>
      <c r="D9" s="81">
        <v>1.329</v>
      </c>
      <c r="E9" s="81">
        <v>1.353</v>
      </c>
      <c r="F9" s="81">
        <v>1.3879999999999999</v>
      </c>
      <c r="G9" s="81">
        <v>1.3959999999999999</v>
      </c>
      <c r="H9" s="81">
        <v>1.379</v>
      </c>
      <c r="I9" s="81">
        <v>1.3779999999999999</v>
      </c>
      <c r="J9" s="81">
        <v>1.393</v>
      </c>
      <c r="K9" s="81">
        <v>1.403</v>
      </c>
      <c r="L9" s="81">
        <v>1.4019999999999999</v>
      </c>
      <c r="M9" s="81">
        <v>1.425</v>
      </c>
      <c r="N9" s="81">
        <v>1.41</v>
      </c>
      <c r="O9" s="81">
        <v>1.3959999999999999</v>
      </c>
      <c r="P9" s="81">
        <v>1.3720000000000001</v>
      </c>
      <c r="Q9" s="81" t="s">
        <v>12</v>
      </c>
    </row>
    <row r="10" spans="1:17" ht="16.5">
      <c r="A10" s="81" t="s">
        <v>69</v>
      </c>
      <c r="B10" s="81">
        <v>1.397</v>
      </c>
      <c r="C10" s="81">
        <v>1.3779999999999999</v>
      </c>
      <c r="D10" s="81">
        <v>1.371</v>
      </c>
      <c r="E10" s="81">
        <v>1.401</v>
      </c>
      <c r="F10" s="81">
        <v>1.4379999999999999</v>
      </c>
      <c r="G10" s="81">
        <v>1.446</v>
      </c>
      <c r="H10" s="81">
        <v>1.4319999999999999</v>
      </c>
      <c r="I10" s="81">
        <v>1.4330000000000001</v>
      </c>
      <c r="J10" s="81">
        <v>1.4530000000000001</v>
      </c>
      <c r="K10" s="81">
        <v>1.4950000000000001</v>
      </c>
      <c r="L10" s="81">
        <v>1.5389999999999999</v>
      </c>
      <c r="M10" s="81">
        <v>1.619</v>
      </c>
      <c r="N10" s="81">
        <v>1.6160000000000001</v>
      </c>
      <c r="O10" s="81">
        <v>1.61</v>
      </c>
      <c r="P10" s="81" t="s">
        <v>12</v>
      </c>
      <c r="Q10" s="81" t="s">
        <v>12</v>
      </c>
    </row>
    <row r="11" spans="1:17" ht="16.5">
      <c r="A11" s="81" t="s">
        <v>70</v>
      </c>
      <c r="B11" s="81">
        <v>1.456</v>
      </c>
      <c r="C11" s="81">
        <v>1.4370000000000001</v>
      </c>
      <c r="D11" s="81">
        <v>1.4330000000000001</v>
      </c>
      <c r="E11" s="81">
        <v>1.466</v>
      </c>
      <c r="F11" s="81">
        <v>1.51</v>
      </c>
      <c r="G11" s="81">
        <v>1.5189999999999999</v>
      </c>
      <c r="H11" s="81">
        <v>1.5069999999999999</v>
      </c>
      <c r="I11" s="81">
        <v>1.5109999999999999</v>
      </c>
      <c r="J11" s="81">
        <v>1.54</v>
      </c>
      <c r="K11" s="81">
        <v>1.5980000000000001</v>
      </c>
      <c r="L11" s="81">
        <v>1.6459999999999999</v>
      </c>
      <c r="M11" s="81">
        <v>1.7270000000000001</v>
      </c>
      <c r="N11" s="81">
        <v>1.764</v>
      </c>
      <c r="O11" s="81">
        <v>1.762</v>
      </c>
      <c r="P11" s="81" t="s">
        <v>12</v>
      </c>
      <c r="Q11" s="81" t="s">
        <v>12</v>
      </c>
    </row>
    <row r="12" spans="1:17" ht="16.5">
      <c r="A12" s="81" t="s">
        <v>71</v>
      </c>
      <c r="B12" s="81">
        <v>1.5409999999999999</v>
      </c>
      <c r="C12" s="81">
        <v>1.526</v>
      </c>
      <c r="D12" s="81">
        <v>1.5269999999999999</v>
      </c>
      <c r="E12" s="81">
        <v>1.5649999999999999</v>
      </c>
      <c r="F12" s="81">
        <v>1.607</v>
      </c>
      <c r="G12" s="81">
        <v>1.6240000000000001</v>
      </c>
      <c r="H12" s="81">
        <v>1.619</v>
      </c>
      <c r="I12" s="81">
        <v>1.6279999999999999</v>
      </c>
      <c r="J12" s="81">
        <v>1.6539999999999999</v>
      </c>
      <c r="K12" s="81">
        <v>1.7190000000000001</v>
      </c>
      <c r="L12" s="81">
        <v>1.7609999999999999</v>
      </c>
      <c r="M12" s="81">
        <v>1.8380000000000001</v>
      </c>
      <c r="N12" s="81">
        <v>1.883</v>
      </c>
      <c r="O12" s="81">
        <v>1.8819999999999999</v>
      </c>
      <c r="P12" s="81" t="s">
        <v>12</v>
      </c>
      <c r="Q12" s="81" t="s">
        <v>12</v>
      </c>
    </row>
    <row r="13" spans="1:17" ht="16.5">
      <c r="A13" s="81" t="s">
        <v>38</v>
      </c>
      <c r="B13" s="81">
        <v>1.278</v>
      </c>
      <c r="C13" s="81">
        <v>1.22</v>
      </c>
      <c r="D13" s="81">
        <v>1.198</v>
      </c>
      <c r="E13" s="81">
        <v>1.2250000000000001</v>
      </c>
      <c r="F13" s="81">
        <v>1.254</v>
      </c>
      <c r="G13" s="81">
        <v>1.2470000000000001</v>
      </c>
      <c r="H13" s="81" t="s">
        <v>12</v>
      </c>
      <c r="I13" s="81" t="s">
        <v>12</v>
      </c>
      <c r="J13" s="81" t="s">
        <v>12</v>
      </c>
      <c r="K13" s="81" t="s">
        <v>12</v>
      </c>
      <c r="L13" s="81" t="s">
        <v>12</v>
      </c>
      <c r="M13" s="81" t="s">
        <v>12</v>
      </c>
      <c r="N13" s="81" t="s">
        <v>12</v>
      </c>
      <c r="O13" s="81" t="s">
        <v>12</v>
      </c>
      <c r="P13" s="81" t="s">
        <v>12</v>
      </c>
      <c r="Q13" s="81" t="s">
        <v>12</v>
      </c>
    </row>
    <row r="14" spans="1:17" ht="16.5">
      <c r="A14" s="81" t="s">
        <v>39</v>
      </c>
      <c r="B14" s="81">
        <v>1.417</v>
      </c>
      <c r="C14" s="81">
        <v>1.3640000000000001</v>
      </c>
      <c r="D14" s="81">
        <v>1.3360000000000001</v>
      </c>
      <c r="E14" s="81">
        <v>1.3540000000000001</v>
      </c>
      <c r="F14" s="81">
        <v>1.38</v>
      </c>
      <c r="G14" s="81">
        <v>1.3759999999999999</v>
      </c>
      <c r="H14" s="81">
        <v>1.3680000000000001</v>
      </c>
      <c r="I14" s="81">
        <v>1.3680000000000001</v>
      </c>
      <c r="J14" s="81">
        <v>1.3859999999999999</v>
      </c>
      <c r="K14" s="81">
        <v>1.425</v>
      </c>
      <c r="L14" s="81">
        <v>1.431</v>
      </c>
      <c r="M14" s="81">
        <v>1.4830000000000001</v>
      </c>
      <c r="N14" s="81">
        <v>1.49</v>
      </c>
      <c r="O14" s="81">
        <v>1.5189999999999999</v>
      </c>
      <c r="P14" s="81" t="s">
        <v>12</v>
      </c>
      <c r="Q14" s="81" t="s">
        <v>12</v>
      </c>
    </row>
    <row r="15" spans="1:17" ht="16.5">
      <c r="A15" s="81" t="s">
        <v>40</v>
      </c>
      <c r="B15" s="81">
        <v>1.417</v>
      </c>
      <c r="C15" s="81">
        <v>1.3640000000000001</v>
      </c>
      <c r="D15" s="81">
        <v>1.3360000000000001</v>
      </c>
      <c r="E15" s="81">
        <v>1.3540000000000001</v>
      </c>
      <c r="F15" s="81">
        <v>1.38</v>
      </c>
      <c r="G15" s="81">
        <v>1.3759999999999999</v>
      </c>
      <c r="H15" s="81">
        <v>1.373</v>
      </c>
      <c r="I15" s="81">
        <v>1.375</v>
      </c>
      <c r="J15" s="81">
        <v>1.403</v>
      </c>
      <c r="K15" s="81">
        <v>1.4390000000000001</v>
      </c>
      <c r="L15" s="81">
        <v>1.4570000000000001</v>
      </c>
      <c r="M15" s="81">
        <v>1.518</v>
      </c>
      <c r="N15" s="81">
        <v>1.526</v>
      </c>
      <c r="O15" s="81">
        <v>1.5569999999999999</v>
      </c>
      <c r="P15" s="81" t="s">
        <v>12</v>
      </c>
      <c r="Q15" s="81" t="s">
        <v>12</v>
      </c>
    </row>
    <row r="16" spans="1:17" ht="16.5">
      <c r="A16" s="81" t="s">
        <v>72</v>
      </c>
      <c r="B16" s="81">
        <v>1.4359999999999999</v>
      </c>
      <c r="C16" s="81">
        <v>1.387</v>
      </c>
      <c r="D16" s="81">
        <v>1.3640000000000001</v>
      </c>
      <c r="E16" s="81">
        <v>1.39</v>
      </c>
      <c r="F16" s="81">
        <v>1.42</v>
      </c>
      <c r="G16" s="81">
        <v>1.419</v>
      </c>
      <c r="H16" s="81">
        <v>1.413</v>
      </c>
      <c r="I16" s="81">
        <v>1.417</v>
      </c>
      <c r="J16" s="81">
        <v>1.4330000000000001</v>
      </c>
      <c r="K16" s="81">
        <v>1.4570000000000001</v>
      </c>
      <c r="L16" s="81">
        <v>1.496</v>
      </c>
      <c r="M16" s="81">
        <v>1.577</v>
      </c>
      <c r="N16" s="81">
        <v>1.5860000000000001</v>
      </c>
      <c r="O16" s="81">
        <v>1.6259999999999999</v>
      </c>
      <c r="P16" s="81" t="s">
        <v>12</v>
      </c>
      <c r="Q16" s="81" t="s">
        <v>12</v>
      </c>
    </row>
    <row r="17" spans="1:17" ht="16.5">
      <c r="A17" s="81" t="s">
        <v>73</v>
      </c>
      <c r="B17" s="81">
        <v>1.478</v>
      </c>
      <c r="C17" s="81">
        <v>1.4339999999999999</v>
      </c>
      <c r="D17" s="81">
        <v>1.415</v>
      </c>
      <c r="E17" s="81">
        <v>1.4490000000000001</v>
      </c>
      <c r="F17" s="81">
        <v>1.482</v>
      </c>
      <c r="G17" s="81">
        <v>1.49</v>
      </c>
      <c r="H17" s="81">
        <v>1.4890000000000001</v>
      </c>
      <c r="I17" s="81">
        <v>1.4930000000000001</v>
      </c>
      <c r="J17" s="81">
        <v>1.5069999999999999</v>
      </c>
      <c r="K17" s="81">
        <v>1.522</v>
      </c>
      <c r="L17" s="81">
        <v>1.5329999999999999</v>
      </c>
      <c r="M17" s="81">
        <v>1.6240000000000001</v>
      </c>
      <c r="N17" s="81">
        <v>1.732</v>
      </c>
      <c r="O17" s="81">
        <v>1.819</v>
      </c>
      <c r="P17" s="81" t="s">
        <v>12</v>
      </c>
      <c r="Q17" s="81" t="s">
        <v>12</v>
      </c>
    </row>
    <row r="18" spans="1:17" ht="16.5">
      <c r="A18" s="81" t="s">
        <v>74</v>
      </c>
      <c r="B18" s="81">
        <v>1.6279999999999999</v>
      </c>
      <c r="C18" s="81">
        <v>1.591</v>
      </c>
      <c r="D18" s="81">
        <v>1.575</v>
      </c>
      <c r="E18" s="81">
        <v>1.6259999999999999</v>
      </c>
      <c r="F18" s="81">
        <v>1.671</v>
      </c>
      <c r="G18" s="81">
        <v>1.7</v>
      </c>
      <c r="H18" s="81">
        <v>1.7290000000000001</v>
      </c>
      <c r="I18" s="81">
        <v>1.7430000000000001</v>
      </c>
      <c r="J18" s="81">
        <v>1.762</v>
      </c>
      <c r="K18" s="81">
        <v>1.8240000000000001</v>
      </c>
      <c r="L18" s="81">
        <v>1.859</v>
      </c>
      <c r="M18" s="81">
        <v>1.9570000000000001</v>
      </c>
      <c r="N18" s="81">
        <v>2.0739999999999998</v>
      </c>
      <c r="O18" s="81">
        <v>2.173</v>
      </c>
      <c r="P18" s="81" t="s">
        <v>12</v>
      </c>
      <c r="Q18" s="81" t="s">
        <v>12</v>
      </c>
    </row>
    <row r="19" spans="1:17" ht="16.5">
      <c r="A19" s="81" t="s">
        <v>75</v>
      </c>
      <c r="B19" s="81">
        <v>1.7909999999999999</v>
      </c>
      <c r="C19" s="81">
        <v>1.8240000000000001</v>
      </c>
      <c r="D19" s="81">
        <v>1.827</v>
      </c>
      <c r="E19" s="81">
        <v>1.895</v>
      </c>
      <c r="F19" s="81">
        <v>1.931</v>
      </c>
      <c r="G19" s="81">
        <v>1.9530000000000001</v>
      </c>
      <c r="H19" s="81">
        <v>1.9670000000000001</v>
      </c>
      <c r="I19" s="81">
        <v>1.9870000000000001</v>
      </c>
      <c r="J19" s="81">
        <v>2.0059999999999998</v>
      </c>
      <c r="K19" s="81">
        <v>2.0569999999999999</v>
      </c>
      <c r="L19" s="81">
        <v>2.105</v>
      </c>
      <c r="M19" s="81">
        <v>2.2679999999999998</v>
      </c>
      <c r="N19" s="81">
        <v>2.31</v>
      </c>
      <c r="O19" s="81">
        <v>2.3929999999999998</v>
      </c>
      <c r="P19" s="81" t="s">
        <v>12</v>
      </c>
      <c r="Q19" s="81" t="s">
        <v>12</v>
      </c>
    </row>
    <row r="20" spans="1:17" ht="16.5">
      <c r="A20" s="81" t="s">
        <v>76</v>
      </c>
      <c r="B20" s="81">
        <v>1.879</v>
      </c>
      <c r="C20" s="81">
        <v>1.9079999999999999</v>
      </c>
      <c r="D20" s="81">
        <v>1.911</v>
      </c>
      <c r="E20" s="81">
        <v>1.982</v>
      </c>
      <c r="F20" s="81">
        <v>2.0350000000000001</v>
      </c>
      <c r="G20" s="81">
        <v>2.0630000000000002</v>
      </c>
      <c r="H20" s="81">
        <v>2.081</v>
      </c>
      <c r="I20" s="81">
        <v>2.1120000000000001</v>
      </c>
      <c r="J20" s="81">
        <v>2.137</v>
      </c>
      <c r="K20" s="81">
        <v>2.1890000000000001</v>
      </c>
      <c r="L20" s="81">
        <v>2.258</v>
      </c>
      <c r="M20" s="81">
        <v>2.4449999999999998</v>
      </c>
      <c r="N20" s="81">
        <v>2.52</v>
      </c>
      <c r="O20" s="81">
        <v>2.6019999999999999</v>
      </c>
      <c r="P20" s="81" t="s">
        <v>12</v>
      </c>
      <c r="Q20" s="81" t="s">
        <v>12</v>
      </c>
    </row>
    <row r="21" spans="1:17" ht="16.5">
      <c r="A21" s="81" t="s">
        <v>77</v>
      </c>
      <c r="B21" s="81">
        <v>1.9690000000000001</v>
      </c>
      <c r="C21" s="81">
        <v>1.9910000000000001</v>
      </c>
      <c r="D21" s="81">
        <v>1.9890000000000001</v>
      </c>
      <c r="E21" s="81">
        <v>2.077</v>
      </c>
      <c r="F21" s="81">
        <v>2.137</v>
      </c>
      <c r="G21" s="81">
        <v>2.1659999999999999</v>
      </c>
      <c r="H21" s="81">
        <v>2.1829999999999998</v>
      </c>
      <c r="I21" s="81">
        <v>2.218</v>
      </c>
      <c r="J21" s="81">
        <v>2.2440000000000002</v>
      </c>
      <c r="K21" s="81">
        <v>2.3140000000000001</v>
      </c>
      <c r="L21" s="81">
        <v>2.3849999999999998</v>
      </c>
      <c r="M21" s="81">
        <v>2.5880000000000001</v>
      </c>
      <c r="N21" s="81">
        <v>2.6549999999999998</v>
      </c>
      <c r="O21" s="81">
        <v>2.742</v>
      </c>
      <c r="P21" s="81" t="s">
        <v>12</v>
      </c>
      <c r="Q21" s="81" t="s">
        <v>12</v>
      </c>
    </row>
    <row r="22" spans="1:17" ht="16.5">
      <c r="A22" s="81" t="s">
        <v>78</v>
      </c>
      <c r="B22" s="81">
        <v>2.0529999999999999</v>
      </c>
      <c r="C22" s="81">
        <v>2.0859999999999999</v>
      </c>
      <c r="D22" s="81">
        <v>2.0910000000000002</v>
      </c>
      <c r="E22" s="81">
        <v>2.1579999999999999</v>
      </c>
      <c r="F22" s="81">
        <v>2.222</v>
      </c>
      <c r="G22" s="81">
        <v>2.254</v>
      </c>
      <c r="H22" s="81">
        <v>2.2639999999999998</v>
      </c>
      <c r="I22" s="81">
        <v>2.2989999999999999</v>
      </c>
      <c r="J22" s="81">
        <v>2.3330000000000002</v>
      </c>
      <c r="K22" s="81">
        <v>2.3980000000000001</v>
      </c>
      <c r="L22" s="81">
        <v>2.4809999999999999</v>
      </c>
      <c r="M22" s="81">
        <v>2.6949999999999998</v>
      </c>
      <c r="N22" s="81">
        <v>2.7879999999999998</v>
      </c>
      <c r="O22" s="81">
        <v>2.8929999999999998</v>
      </c>
      <c r="P22" s="81" t="s">
        <v>12</v>
      </c>
      <c r="Q22" s="81" t="s">
        <v>12</v>
      </c>
    </row>
    <row r="23" spans="1:17" ht="16.5">
      <c r="A23" s="81" t="s">
        <v>130</v>
      </c>
      <c r="B23" s="81">
        <v>1.52</v>
      </c>
      <c r="C23" s="81">
        <v>1.512</v>
      </c>
      <c r="D23" s="81">
        <v>1.4890000000000001</v>
      </c>
      <c r="E23" s="81">
        <v>1.5069999999999999</v>
      </c>
      <c r="F23" s="81">
        <v>1.5580000000000001</v>
      </c>
      <c r="G23" s="81">
        <v>1.5640000000000001</v>
      </c>
      <c r="H23" s="81">
        <v>1.5509999999999999</v>
      </c>
      <c r="I23" s="81">
        <v>1.5509999999999999</v>
      </c>
      <c r="J23" s="81">
        <v>1.556</v>
      </c>
      <c r="K23" s="81">
        <v>1.601</v>
      </c>
      <c r="L23" s="81">
        <v>1.6859999999999999</v>
      </c>
      <c r="M23" s="81">
        <v>1.992</v>
      </c>
      <c r="N23" s="81">
        <v>2.254</v>
      </c>
      <c r="O23" s="81">
        <v>2.3359999999999999</v>
      </c>
      <c r="P23" s="81" t="s">
        <v>12</v>
      </c>
      <c r="Q23" s="81" t="s">
        <v>12</v>
      </c>
    </row>
    <row r="24" spans="1:17" ht="16.5">
      <c r="A24" s="81" t="s">
        <v>79</v>
      </c>
      <c r="B24" s="81">
        <v>1.5449999999999999</v>
      </c>
      <c r="C24" s="81">
        <v>1.5289999999999999</v>
      </c>
      <c r="D24" s="81">
        <v>1.508</v>
      </c>
      <c r="E24" s="81">
        <v>1.5209999999999999</v>
      </c>
      <c r="F24" s="81">
        <v>1.571</v>
      </c>
      <c r="G24" s="81">
        <v>1.5760000000000001</v>
      </c>
      <c r="H24" s="81">
        <v>1.569</v>
      </c>
      <c r="I24" s="81">
        <v>1.575</v>
      </c>
      <c r="J24" s="81">
        <v>1.593</v>
      </c>
      <c r="K24" s="81">
        <v>1.7470000000000001</v>
      </c>
      <c r="L24" s="81">
        <v>1.893</v>
      </c>
      <c r="M24" s="81">
        <v>2.2290000000000001</v>
      </c>
      <c r="N24" s="81">
        <v>2.5270000000000001</v>
      </c>
      <c r="O24" s="81">
        <v>2.6120000000000001</v>
      </c>
      <c r="P24" s="81" t="s">
        <v>12</v>
      </c>
      <c r="Q24" s="81" t="s">
        <v>12</v>
      </c>
    </row>
    <row r="25" spans="1:17" ht="16.5">
      <c r="A25" s="81" t="s">
        <v>80</v>
      </c>
      <c r="B25" s="81">
        <v>1.579</v>
      </c>
      <c r="C25" s="81">
        <v>1.5640000000000001</v>
      </c>
      <c r="D25" s="81">
        <v>1.542</v>
      </c>
      <c r="E25" s="81">
        <v>1.5640000000000001</v>
      </c>
      <c r="F25" s="81">
        <v>1.6339999999999999</v>
      </c>
      <c r="G25" s="81">
        <v>1.6539999999999999</v>
      </c>
      <c r="H25" s="81">
        <v>1.6479999999999999</v>
      </c>
      <c r="I25" s="81">
        <v>1.66</v>
      </c>
      <c r="J25" s="81">
        <v>1.6990000000000001</v>
      </c>
      <c r="K25" s="81">
        <v>1.869</v>
      </c>
      <c r="L25" s="81">
        <v>2.0649999999999999</v>
      </c>
      <c r="M25" s="81">
        <v>2.468</v>
      </c>
      <c r="N25" s="81">
        <v>2.7549999999999999</v>
      </c>
      <c r="O25" s="81">
        <v>2.8439999999999999</v>
      </c>
      <c r="P25" s="81" t="s">
        <v>12</v>
      </c>
      <c r="Q25" s="81" t="s">
        <v>12</v>
      </c>
    </row>
    <row r="26" spans="1:17" ht="16.5">
      <c r="A26" s="81" t="s">
        <v>81</v>
      </c>
      <c r="B26" s="81">
        <v>1.643</v>
      </c>
      <c r="C26" s="81">
        <v>1.637</v>
      </c>
      <c r="D26" s="81">
        <v>1.62</v>
      </c>
      <c r="E26" s="81">
        <v>1.661</v>
      </c>
      <c r="F26" s="81">
        <v>1.7150000000000001</v>
      </c>
      <c r="G26" s="81">
        <v>1.7689999999999999</v>
      </c>
      <c r="H26" s="81">
        <v>1.7989999999999999</v>
      </c>
      <c r="I26" s="81">
        <v>1.923</v>
      </c>
      <c r="J26" s="81">
        <v>2.0640000000000001</v>
      </c>
      <c r="K26" s="81">
        <v>2.2250000000000001</v>
      </c>
      <c r="L26" s="81">
        <v>2.5569999999999999</v>
      </c>
      <c r="M26" s="81">
        <v>2.9329999999999998</v>
      </c>
      <c r="N26" s="81">
        <v>3.18</v>
      </c>
      <c r="O26" s="81">
        <v>3.254</v>
      </c>
      <c r="P26" s="81" t="s">
        <v>12</v>
      </c>
      <c r="Q26" s="81" t="s">
        <v>12</v>
      </c>
    </row>
    <row r="27" spans="1:17" ht="16.5">
      <c r="A27" s="81" t="s">
        <v>82</v>
      </c>
      <c r="B27" s="81">
        <v>1.8540000000000001</v>
      </c>
      <c r="C27" s="81">
        <v>1.849</v>
      </c>
      <c r="D27" s="81">
        <v>1.8320000000000001</v>
      </c>
      <c r="E27" s="81">
        <v>1.8540000000000001</v>
      </c>
      <c r="F27" s="81">
        <v>1.901</v>
      </c>
      <c r="G27" s="81">
        <v>2.0230000000000001</v>
      </c>
      <c r="H27" s="81">
        <v>2.1640000000000001</v>
      </c>
      <c r="I27" s="81">
        <v>2.266</v>
      </c>
      <c r="J27" s="81">
        <v>2.472</v>
      </c>
      <c r="K27" s="81">
        <v>2.653</v>
      </c>
      <c r="L27" s="81">
        <v>2.9</v>
      </c>
      <c r="M27" s="81">
        <v>3.2109999999999999</v>
      </c>
      <c r="N27" s="81">
        <v>3.4340000000000002</v>
      </c>
      <c r="O27" s="81">
        <v>3.5030000000000001</v>
      </c>
      <c r="P27" s="81" t="s">
        <v>12</v>
      </c>
      <c r="Q27" s="81" t="s">
        <v>12</v>
      </c>
    </row>
    <row r="28" spans="1:17" ht="16.5">
      <c r="A28" s="81" t="s">
        <v>83</v>
      </c>
      <c r="B28" s="81">
        <v>2.4740000000000002</v>
      </c>
      <c r="C28" s="81">
        <v>2.5950000000000002</v>
      </c>
      <c r="D28" s="81">
        <v>2.585</v>
      </c>
      <c r="E28" s="81">
        <v>2.6080000000000001</v>
      </c>
      <c r="F28" s="81">
        <v>2.6549999999999998</v>
      </c>
      <c r="G28" s="81">
        <v>2.726</v>
      </c>
      <c r="H28" s="81">
        <v>2.9020000000000001</v>
      </c>
      <c r="I28" s="81">
        <v>3.0049999999999999</v>
      </c>
      <c r="J28" s="81">
        <v>3.1909999999999998</v>
      </c>
      <c r="K28" s="81">
        <v>3.3479999999999999</v>
      </c>
      <c r="L28" s="81">
        <v>3.581</v>
      </c>
      <c r="M28" s="81">
        <v>3.734</v>
      </c>
      <c r="N28" s="81">
        <v>3.9</v>
      </c>
      <c r="O28" s="81">
        <v>3.9540000000000002</v>
      </c>
      <c r="P28" s="81" t="s">
        <v>12</v>
      </c>
      <c r="Q28" s="81" t="s">
        <v>12</v>
      </c>
    </row>
    <row r="29" spans="1:17" ht="16.5">
      <c r="A29" s="81" t="s">
        <v>84</v>
      </c>
      <c r="B29" s="81">
        <v>3.21</v>
      </c>
      <c r="C29" s="81">
        <v>3.5009999999999999</v>
      </c>
      <c r="D29" s="81">
        <v>3.5859999999999999</v>
      </c>
      <c r="E29" s="81">
        <v>3.7389999999999999</v>
      </c>
      <c r="F29" s="81">
        <v>3.7970000000000002</v>
      </c>
      <c r="G29" s="81">
        <v>4.056</v>
      </c>
      <c r="H29" s="81">
        <v>4.3040000000000003</v>
      </c>
      <c r="I29" s="81">
        <v>4.4320000000000004</v>
      </c>
      <c r="J29" s="81">
        <v>4.5209999999999999</v>
      </c>
      <c r="K29" s="81">
        <v>4.6820000000000004</v>
      </c>
      <c r="L29" s="81">
        <v>4.8230000000000004</v>
      </c>
      <c r="M29" s="81">
        <v>5.2210000000000001</v>
      </c>
      <c r="N29" s="81">
        <v>5.4809999999999999</v>
      </c>
      <c r="O29" s="81">
        <v>5.6959999999999997</v>
      </c>
      <c r="P29" s="81" t="s">
        <v>12</v>
      </c>
      <c r="Q29" s="81" t="s">
        <v>12</v>
      </c>
    </row>
    <row r="30" spans="1:17" ht="16.5">
      <c r="A30" s="81" t="s">
        <v>85</v>
      </c>
      <c r="B30" s="81">
        <v>3.8439999999999999</v>
      </c>
      <c r="C30" s="81">
        <v>4.2009999999999996</v>
      </c>
      <c r="D30" s="81">
        <v>4.2919999999999998</v>
      </c>
      <c r="E30" s="81">
        <v>4.4870000000000001</v>
      </c>
      <c r="F30" s="81">
        <v>4.601</v>
      </c>
      <c r="G30" s="81">
        <v>4.8769999999999998</v>
      </c>
      <c r="H30" s="81">
        <v>5.1609999999999996</v>
      </c>
      <c r="I30" s="81">
        <v>5.3440000000000003</v>
      </c>
      <c r="J30" s="81">
        <v>5.4550000000000001</v>
      </c>
      <c r="K30" s="81">
        <v>5.73</v>
      </c>
      <c r="L30" s="81">
        <v>6.0279999999999996</v>
      </c>
      <c r="M30" s="81">
        <v>6.5510000000000002</v>
      </c>
      <c r="N30" s="81">
        <v>6.8890000000000002</v>
      </c>
      <c r="O30" s="81">
        <v>7.1719999999999997</v>
      </c>
      <c r="P30" s="81" t="s">
        <v>12</v>
      </c>
      <c r="Q30" s="81" t="s">
        <v>12</v>
      </c>
    </row>
    <row r="31" spans="1:17" ht="16.5">
      <c r="A31" s="81" t="s">
        <v>86</v>
      </c>
      <c r="B31" s="81">
        <v>5.1420000000000003</v>
      </c>
      <c r="C31" s="81">
        <v>5.54</v>
      </c>
      <c r="D31" s="81">
        <v>5.6550000000000002</v>
      </c>
      <c r="E31" s="81">
        <v>5.8129999999999997</v>
      </c>
      <c r="F31" s="81">
        <v>5.9340000000000002</v>
      </c>
      <c r="G31" s="81">
        <v>6.23</v>
      </c>
      <c r="H31" s="81">
        <v>6.508</v>
      </c>
      <c r="I31" s="81">
        <v>6.6989999999999998</v>
      </c>
      <c r="J31" s="81">
        <v>6.8289999999999997</v>
      </c>
      <c r="K31" s="81">
        <v>7.1360000000000001</v>
      </c>
      <c r="L31" s="81">
        <v>7.3970000000000002</v>
      </c>
      <c r="M31" s="81">
        <v>7.883</v>
      </c>
      <c r="N31" s="81">
        <v>8.18</v>
      </c>
      <c r="O31" s="81">
        <v>8.4459999999999997</v>
      </c>
      <c r="P31" s="81" t="s">
        <v>12</v>
      </c>
      <c r="Q31" s="81" t="s">
        <v>12</v>
      </c>
    </row>
    <row r="32" spans="1:17" ht="16.5">
      <c r="A32" s="81" t="s">
        <v>134</v>
      </c>
      <c r="B32" s="81">
        <v>1.52</v>
      </c>
      <c r="C32" s="81">
        <v>1.512</v>
      </c>
      <c r="D32" s="81">
        <v>1.4890000000000001</v>
      </c>
      <c r="E32" s="81">
        <v>1.5069999999999999</v>
      </c>
      <c r="F32" s="81">
        <v>1.5580000000000001</v>
      </c>
      <c r="G32" s="81">
        <v>1.5640000000000001</v>
      </c>
      <c r="H32" s="81">
        <v>1.5509999999999999</v>
      </c>
      <c r="I32" s="81">
        <v>1.5509999999999999</v>
      </c>
      <c r="J32" s="81">
        <v>1.556</v>
      </c>
      <c r="K32" s="81">
        <v>1.601</v>
      </c>
      <c r="L32" s="81">
        <v>1.6859999999999999</v>
      </c>
      <c r="M32" s="81">
        <v>1.992</v>
      </c>
      <c r="N32" s="81">
        <v>2.254</v>
      </c>
      <c r="O32" s="81">
        <v>2.3359999999999999</v>
      </c>
      <c r="P32" s="81" t="s">
        <v>12</v>
      </c>
      <c r="Q32" s="81" t="s">
        <v>12</v>
      </c>
    </row>
    <row r="33" spans="1:17" ht="16.5">
      <c r="A33" s="81" t="s">
        <v>87</v>
      </c>
      <c r="B33" s="81">
        <v>1.5449999999999999</v>
      </c>
      <c r="C33" s="81">
        <v>1.5289999999999999</v>
      </c>
      <c r="D33" s="81">
        <v>1.508</v>
      </c>
      <c r="E33" s="81">
        <v>1.5209999999999999</v>
      </c>
      <c r="F33" s="81">
        <v>1.571</v>
      </c>
      <c r="G33" s="81">
        <v>1.5760000000000001</v>
      </c>
      <c r="H33" s="81">
        <v>1.569</v>
      </c>
      <c r="I33" s="81">
        <v>1.575</v>
      </c>
      <c r="J33" s="81">
        <v>1.593</v>
      </c>
      <c r="K33" s="81">
        <v>1.7470000000000001</v>
      </c>
      <c r="L33" s="81">
        <v>1.893</v>
      </c>
      <c r="M33" s="81">
        <v>2.2290000000000001</v>
      </c>
      <c r="N33" s="81">
        <v>2.5270000000000001</v>
      </c>
      <c r="O33" s="81">
        <v>2.6120000000000001</v>
      </c>
      <c r="P33" s="81" t="s">
        <v>12</v>
      </c>
      <c r="Q33" s="81" t="s">
        <v>12</v>
      </c>
    </row>
    <row r="34" spans="1:17" ht="16.5">
      <c r="A34" s="81" t="s">
        <v>88</v>
      </c>
      <c r="B34" s="81">
        <v>1.579</v>
      </c>
      <c r="C34" s="81">
        <v>1.5640000000000001</v>
      </c>
      <c r="D34" s="81">
        <v>1.542</v>
      </c>
      <c r="E34" s="81">
        <v>1.5640000000000001</v>
      </c>
      <c r="F34" s="81">
        <v>1.6339999999999999</v>
      </c>
      <c r="G34" s="81">
        <v>1.6539999999999999</v>
      </c>
      <c r="H34" s="81">
        <v>1.6479999999999999</v>
      </c>
      <c r="I34" s="81">
        <v>1.66</v>
      </c>
      <c r="J34" s="81">
        <v>1.6990000000000001</v>
      </c>
      <c r="K34" s="81">
        <v>1.869</v>
      </c>
      <c r="L34" s="81">
        <v>2.0649999999999999</v>
      </c>
      <c r="M34" s="81">
        <v>2.468</v>
      </c>
      <c r="N34" s="81">
        <v>2.7549999999999999</v>
      </c>
      <c r="O34" s="81">
        <v>2.8439999999999999</v>
      </c>
      <c r="P34" s="81" t="s">
        <v>12</v>
      </c>
      <c r="Q34" s="81" t="s">
        <v>12</v>
      </c>
    </row>
    <row r="35" spans="1:17" ht="16.5">
      <c r="A35" s="81" t="s">
        <v>89</v>
      </c>
      <c r="B35" s="81">
        <v>1.643</v>
      </c>
      <c r="C35" s="81">
        <v>1.637</v>
      </c>
      <c r="D35" s="81">
        <v>1.62</v>
      </c>
      <c r="E35" s="81">
        <v>1.661</v>
      </c>
      <c r="F35" s="81">
        <v>1.7150000000000001</v>
      </c>
      <c r="G35" s="81">
        <v>1.7689999999999999</v>
      </c>
      <c r="H35" s="81">
        <v>1.7989999999999999</v>
      </c>
      <c r="I35" s="81">
        <v>1.923</v>
      </c>
      <c r="J35" s="81">
        <v>2.0640000000000001</v>
      </c>
      <c r="K35" s="81">
        <v>2.2250000000000001</v>
      </c>
      <c r="L35" s="81">
        <v>2.5569999999999999</v>
      </c>
      <c r="M35" s="81">
        <v>2.9329999999999998</v>
      </c>
      <c r="N35" s="81">
        <v>3.18</v>
      </c>
      <c r="O35" s="81">
        <v>3.254</v>
      </c>
      <c r="P35" s="81" t="s">
        <v>12</v>
      </c>
      <c r="Q35" s="81" t="s">
        <v>12</v>
      </c>
    </row>
    <row r="36" spans="1:17" ht="16.5">
      <c r="A36" s="81" t="s">
        <v>90</v>
      </c>
      <c r="B36" s="81">
        <v>1.8540000000000001</v>
      </c>
      <c r="C36" s="81">
        <v>1.849</v>
      </c>
      <c r="D36" s="81">
        <v>1.8320000000000001</v>
      </c>
      <c r="E36" s="81">
        <v>1.8540000000000001</v>
      </c>
      <c r="F36" s="81">
        <v>1.901</v>
      </c>
      <c r="G36" s="81">
        <v>2.0230000000000001</v>
      </c>
      <c r="H36" s="81">
        <v>2.1640000000000001</v>
      </c>
      <c r="I36" s="81">
        <v>2.266</v>
      </c>
      <c r="J36" s="81">
        <v>2.472</v>
      </c>
      <c r="K36" s="81">
        <v>2.653</v>
      </c>
      <c r="L36" s="81">
        <v>2.9</v>
      </c>
      <c r="M36" s="81">
        <v>3.2109999999999999</v>
      </c>
      <c r="N36" s="81">
        <v>3.4340000000000002</v>
      </c>
      <c r="O36" s="81">
        <v>3.5030000000000001</v>
      </c>
      <c r="P36" s="81" t="s">
        <v>12</v>
      </c>
      <c r="Q36" s="81" t="s">
        <v>12</v>
      </c>
    </row>
    <row r="37" spans="1:17" ht="16.5">
      <c r="A37" s="81" t="s">
        <v>91</v>
      </c>
      <c r="B37" s="81">
        <v>2.4740000000000002</v>
      </c>
      <c r="C37" s="81">
        <v>2.5950000000000002</v>
      </c>
      <c r="D37" s="81">
        <v>2.585</v>
      </c>
      <c r="E37" s="81">
        <v>2.6080000000000001</v>
      </c>
      <c r="F37" s="81">
        <v>2.6549999999999998</v>
      </c>
      <c r="G37" s="81">
        <v>2.726</v>
      </c>
      <c r="H37" s="81">
        <v>2.9020000000000001</v>
      </c>
      <c r="I37" s="81">
        <v>3.0049999999999999</v>
      </c>
      <c r="J37" s="81">
        <v>3.1909999999999998</v>
      </c>
      <c r="K37" s="81">
        <v>3.3479999999999999</v>
      </c>
      <c r="L37" s="81">
        <v>3.581</v>
      </c>
      <c r="M37" s="81">
        <v>3.734</v>
      </c>
      <c r="N37" s="81">
        <v>3.9</v>
      </c>
      <c r="O37" s="81">
        <v>3.9540000000000002</v>
      </c>
      <c r="P37" s="81" t="s">
        <v>12</v>
      </c>
      <c r="Q37" s="81" t="s">
        <v>12</v>
      </c>
    </row>
    <row r="38" spans="1:17" ht="16.5">
      <c r="A38" s="81" t="s">
        <v>92</v>
      </c>
      <c r="B38" s="81">
        <v>3.2189999999999999</v>
      </c>
      <c r="C38" s="81">
        <v>3.484</v>
      </c>
      <c r="D38" s="81">
        <v>3.5459999999999998</v>
      </c>
      <c r="E38" s="81">
        <v>3.69</v>
      </c>
      <c r="F38" s="81">
        <v>3.746</v>
      </c>
      <c r="G38" s="81">
        <v>4.0190000000000001</v>
      </c>
      <c r="H38" s="81">
        <v>4.3380000000000001</v>
      </c>
      <c r="I38" s="81">
        <v>4.5019999999999998</v>
      </c>
      <c r="J38" s="81">
        <v>4.5919999999999996</v>
      </c>
      <c r="K38" s="81">
        <v>4.7720000000000002</v>
      </c>
      <c r="L38" s="81">
        <v>4.9050000000000002</v>
      </c>
      <c r="M38" s="81">
        <v>5.2910000000000004</v>
      </c>
      <c r="N38" s="81">
        <v>5.55</v>
      </c>
      <c r="O38" s="81">
        <v>5.7729999999999997</v>
      </c>
      <c r="P38" s="81" t="s">
        <v>12</v>
      </c>
      <c r="Q38" s="81" t="s">
        <v>12</v>
      </c>
    </row>
    <row r="39" spans="1:17" ht="16.5">
      <c r="A39" s="81" t="s">
        <v>93</v>
      </c>
      <c r="B39" s="81">
        <v>3.8380000000000001</v>
      </c>
      <c r="C39" s="81">
        <v>4.1859999999999999</v>
      </c>
      <c r="D39" s="81">
        <v>4.2530000000000001</v>
      </c>
      <c r="E39" s="81">
        <v>4.4429999999999996</v>
      </c>
      <c r="F39" s="81">
        <v>4.5519999999999996</v>
      </c>
      <c r="G39" s="81">
        <v>4.851</v>
      </c>
      <c r="H39" s="81">
        <v>5.194</v>
      </c>
      <c r="I39" s="81">
        <v>5.4180000000000001</v>
      </c>
      <c r="J39" s="81">
        <v>5.5140000000000002</v>
      </c>
      <c r="K39" s="81">
        <v>5.8040000000000003</v>
      </c>
      <c r="L39" s="81">
        <v>6.056</v>
      </c>
      <c r="M39" s="81">
        <v>6.5960000000000001</v>
      </c>
      <c r="N39" s="81">
        <v>6.95</v>
      </c>
      <c r="O39" s="81">
        <v>7.2750000000000004</v>
      </c>
      <c r="P39" s="81" t="s">
        <v>12</v>
      </c>
      <c r="Q39" s="81" t="s">
        <v>12</v>
      </c>
    </row>
    <row r="40" spans="1:17" ht="16.5">
      <c r="A40" s="81" t="s">
        <v>94</v>
      </c>
      <c r="B40" s="81">
        <v>5.234</v>
      </c>
      <c r="C40" s="81">
        <v>5.57</v>
      </c>
      <c r="D40" s="81">
        <v>5.6719999999999997</v>
      </c>
      <c r="E40" s="81">
        <v>5.8070000000000004</v>
      </c>
      <c r="F40" s="81">
        <v>5.9260000000000002</v>
      </c>
      <c r="G40" s="81">
        <v>6.2560000000000002</v>
      </c>
      <c r="H40" s="81">
        <v>6.5890000000000004</v>
      </c>
      <c r="I40" s="81">
        <v>6.8259999999999996</v>
      </c>
      <c r="J40" s="81">
        <v>6.95</v>
      </c>
      <c r="K40" s="81">
        <v>7.2889999999999997</v>
      </c>
      <c r="L40" s="81">
        <v>7.484</v>
      </c>
      <c r="M40" s="81">
        <v>7.968</v>
      </c>
      <c r="N40" s="81">
        <v>8.2609999999999992</v>
      </c>
      <c r="O40" s="81">
        <v>8.58</v>
      </c>
      <c r="P40" s="81" t="s">
        <v>12</v>
      </c>
      <c r="Q40" s="81" t="s">
        <v>12</v>
      </c>
    </row>
    <row r="41" spans="1:17" ht="16.5">
      <c r="A41" s="81" t="s">
        <v>95</v>
      </c>
      <c r="B41" s="81">
        <v>1.3660000000000001</v>
      </c>
      <c r="C41" s="81">
        <v>1.381</v>
      </c>
      <c r="D41" s="81">
        <v>1.411</v>
      </c>
      <c r="E41" s="81">
        <v>1.4630000000000001</v>
      </c>
      <c r="F41" s="81">
        <v>1.4950000000000001</v>
      </c>
      <c r="G41" s="81">
        <v>1.5089999999999999</v>
      </c>
      <c r="H41" s="81">
        <v>1.5149999999999999</v>
      </c>
      <c r="I41" s="81">
        <v>1.5169999999999999</v>
      </c>
      <c r="J41" s="81">
        <v>1.5289999999999999</v>
      </c>
      <c r="K41" s="81">
        <v>1.5349999999999999</v>
      </c>
      <c r="L41" s="81">
        <v>1.5389999999999999</v>
      </c>
      <c r="M41" s="81">
        <v>1.5940000000000001</v>
      </c>
      <c r="N41" s="81">
        <v>1.663</v>
      </c>
      <c r="O41" s="81">
        <v>1.764</v>
      </c>
      <c r="P41" s="81" t="s">
        <v>12</v>
      </c>
      <c r="Q41" s="81" t="s">
        <v>12</v>
      </c>
    </row>
    <row r="42" spans="1:17" ht="16.5">
      <c r="A42" s="81" t="s">
        <v>96</v>
      </c>
      <c r="B42" s="81">
        <v>1.3959999999999999</v>
      </c>
      <c r="C42" s="81">
        <v>1.405</v>
      </c>
      <c r="D42" s="81">
        <v>1.4350000000000001</v>
      </c>
      <c r="E42" s="81">
        <v>1.4870000000000001</v>
      </c>
      <c r="F42" s="81">
        <v>1.5149999999999999</v>
      </c>
      <c r="G42" s="81">
        <v>1.53</v>
      </c>
      <c r="H42" s="81">
        <v>1.538</v>
      </c>
      <c r="I42" s="81">
        <v>1.54</v>
      </c>
      <c r="J42" s="81">
        <v>1.5529999999999999</v>
      </c>
      <c r="K42" s="81">
        <v>1.5860000000000001</v>
      </c>
      <c r="L42" s="81">
        <v>1.671</v>
      </c>
      <c r="M42" s="81">
        <v>1.867</v>
      </c>
      <c r="N42" s="81">
        <v>2.0609999999999999</v>
      </c>
      <c r="O42" s="81">
        <v>2.1509999999999998</v>
      </c>
      <c r="P42" s="81" t="s">
        <v>12</v>
      </c>
      <c r="Q42" s="81" t="s">
        <v>12</v>
      </c>
    </row>
    <row r="43" spans="1:17" ht="16.5">
      <c r="A43" s="81" t="s">
        <v>97</v>
      </c>
      <c r="B43" s="81">
        <v>1.4450000000000001</v>
      </c>
      <c r="C43" s="81">
        <v>1.448</v>
      </c>
      <c r="D43" s="81">
        <v>1.4770000000000001</v>
      </c>
      <c r="E43" s="81">
        <v>1.522</v>
      </c>
      <c r="F43" s="81">
        <v>1.5509999999999999</v>
      </c>
      <c r="G43" s="81">
        <v>1.5660000000000001</v>
      </c>
      <c r="H43" s="81">
        <v>1.5740000000000001</v>
      </c>
      <c r="I43" s="81">
        <v>1.577</v>
      </c>
      <c r="J43" s="81">
        <v>1.593</v>
      </c>
      <c r="K43" s="81">
        <v>1.647</v>
      </c>
      <c r="L43" s="81">
        <v>1.8260000000000001</v>
      </c>
      <c r="M43" s="81">
        <v>2.2570000000000001</v>
      </c>
      <c r="N43" s="81">
        <v>2.6859999999999999</v>
      </c>
      <c r="O43" s="81">
        <v>2.7810000000000001</v>
      </c>
      <c r="P43" s="81" t="s">
        <v>12</v>
      </c>
      <c r="Q43" s="81" t="s">
        <v>12</v>
      </c>
    </row>
    <row r="44" spans="1:17" ht="16.5">
      <c r="A44" s="81" t="s">
        <v>98</v>
      </c>
      <c r="B44" s="81">
        <v>1.4710000000000001</v>
      </c>
      <c r="C44" s="81">
        <v>1.474</v>
      </c>
      <c r="D44" s="81">
        <v>1.5029999999999999</v>
      </c>
      <c r="E44" s="81">
        <v>1.55</v>
      </c>
      <c r="F44" s="81">
        <v>1.579</v>
      </c>
      <c r="G44" s="81">
        <v>1.591</v>
      </c>
      <c r="H44" s="81">
        <v>1.597</v>
      </c>
      <c r="I44" s="81">
        <v>1.599</v>
      </c>
      <c r="J44" s="81">
        <v>1.66</v>
      </c>
      <c r="K44" s="81">
        <v>1.756</v>
      </c>
      <c r="L44" s="81">
        <v>2.0339999999999998</v>
      </c>
      <c r="M44" s="81">
        <v>2.6</v>
      </c>
      <c r="N44" s="81">
        <v>3.1760000000000002</v>
      </c>
      <c r="O44" s="81">
        <v>3.3210000000000002</v>
      </c>
      <c r="P44" s="81" t="s">
        <v>12</v>
      </c>
      <c r="Q44" s="81" t="s">
        <v>12</v>
      </c>
    </row>
    <row r="45" spans="1:17" ht="16.5">
      <c r="A45" s="81" t="s">
        <v>99</v>
      </c>
      <c r="B45" s="81">
        <v>1.5309999999999999</v>
      </c>
      <c r="C45" s="81">
        <v>1.5389999999999999</v>
      </c>
      <c r="D45" s="81">
        <v>1.5609999999999999</v>
      </c>
      <c r="E45" s="81">
        <v>1.6</v>
      </c>
      <c r="F45" s="81">
        <v>1.641</v>
      </c>
      <c r="G45" s="81">
        <v>1.657</v>
      </c>
      <c r="H45" s="81">
        <v>1.675</v>
      </c>
      <c r="I45" s="81">
        <v>1.7769999999999999</v>
      </c>
      <c r="J45" s="81">
        <v>1.9019999999999999</v>
      </c>
      <c r="K45" s="81">
        <v>2.133</v>
      </c>
      <c r="L45" s="81">
        <v>2.4329999999999998</v>
      </c>
      <c r="M45" s="81">
        <v>3.0169999999999999</v>
      </c>
      <c r="N45" s="81">
        <v>3.4940000000000002</v>
      </c>
      <c r="O45" s="81">
        <v>3.6709999999999998</v>
      </c>
      <c r="P45" s="81" t="s">
        <v>12</v>
      </c>
      <c r="Q45" s="81" t="s">
        <v>12</v>
      </c>
    </row>
    <row r="46" spans="1:17" ht="16.5">
      <c r="A46" s="81" t="s">
        <v>100</v>
      </c>
      <c r="B46" s="81">
        <v>1.675</v>
      </c>
      <c r="C46" s="81">
        <v>1.6890000000000001</v>
      </c>
      <c r="D46" s="81">
        <v>1.72</v>
      </c>
      <c r="E46" s="81">
        <v>1.7649999999999999</v>
      </c>
      <c r="F46" s="81">
        <v>1.8140000000000001</v>
      </c>
      <c r="G46" s="81">
        <v>1.829</v>
      </c>
      <c r="H46" s="81">
        <v>1.883</v>
      </c>
      <c r="I46" s="81">
        <v>2.0350000000000001</v>
      </c>
      <c r="J46" s="81">
        <v>2.2400000000000002</v>
      </c>
      <c r="K46" s="81">
        <v>2.5329999999999999</v>
      </c>
      <c r="L46" s="81">
        <v>2.8460000000000001</v>
      </c>
      <c r="M46" s="81">
        <v>3.4569999999999999</v>
      </c>
      <c r="N46" s="81">
        <v>3.867</v>
      </c>
      <c r="O46" s="81">
        <v>4.0339999999999998</v>
      </c>
      <c r="P46" s="81" t="s">
        <v>12</v>
      </c>
      <c r="Q46" s="81" t="s">
        <v>12</v>
      </c>
    </row>
    <row r="47" spans="1:17" ht="16.5">
      <c r="A47" s="81" t="s">
        <v>101</v>
      </c>
      <c r="B47" s="81">
        <v>1.895</v>
      </c>
      <c r="C47" s="81">
        <v>1.9239999999999999</v>
      </c>
      <c r="D47" s="81">
        <v>1.97</v>
      </c>
      <c r="E47" s="81">
        <v>2.024</v>
      </c>
      <c r="F47" s="81">
        <v>2.085</v>
      </c>
      <c r="G47" s="81">
        <v>2.1669999999999998</v>
      </c>
      <c r="H47" s="81">
        <v>2.3010000000000002</v>
      </c>
      <c r="I47" s="81">
        <v>2.4929999999999999</v>
      </c>
      <c r="J47" s="81">
        <v>2.7629999999999999</v>
      </c>
      <c r="K47" s="81">
        <v>3.1429999999999998</v>
      </c>
      <c r="L47" s="81">
        <v>3.4060000000000001</v>
      </c>
      <c r="M47" s="81">
        <v>3.9870000000000001</v>
      </c>
      <c r="N47" s="81">
        <v>4.3819999999999997</v>
      </c>
      <c r="O47" s="81">
        <v>4.5990000000000002</v>
      </c>
      <c r="P47" s="81" t="s">
        <v>12</v>
      </c>
      <c r="Q47" s="81" t="s">
        <v>12</v>
      </c>
    </row>
    <row r="48" spans="1:17" ht="16.5">
      <c r="A48" s="81" t="s">
        <v>43</v>
      </c>
      <c r="B48" s="81">
        <v>1.373</v>
      </c>
      <c r="C48" s="81">
        <v>1.391</v>
      </c>
      <c r="D48" s="81">
        <v>1.4239999999999999</v>
      </c>
      <c r="E48" s="81">
        <v>1.4750000000000001</v>
      </c>
      <c r="F48" s="81">
        <v>1.5169999999999999</v>
      </c>
      <c r="G48" s="81">
        <v>1.5209999999999999</v>
      </c>
      <c r="H48" s="81">
        <v>1.546</v>
      </c>
      <c r="I48" s="81">
        <v>1.548</v>
      </c>
      <c r="J48" s="81">
        <v>1.5620000000000001</v>
      </c>
      <c r="K48" s="81">
        <v>1.5780000000000001</v>
      </c>
      <c r="L48" s="81">
        <v>1.6020000000000001</v>
      </c>
      <c r="M48" s="81">
        <v>1.645</v>
      </c>
      <c r="N48" s="81" t="s">
        <v>12</v>
      </c>
      <c r="O48" s="81" t="s">
        <v>12</v>
      </c>
      <c r="P48" s="81" t="s">
        <v>12</v>
      </c>
      <c r="Q48" s="81" t="s">
        <v>12</v>
      </c>
    </row>
    <row r="49" spans="1:17" ht="16.5">
      <c r="A49" s="81" t="s">
        <v>44</v>
      </c>
      <c r="B49" s="81">
        <v>1.39</v>
      </c>
      <c r="C49" s="81">
        <v>1.395</v>
      </c>
      <c r="D49" s="81">
        <v>1.4490000000000001</v>
      </c>
      <c r="E49" s="81">
        <v>1.5069999999999999</v>
      </c>
      <c r="F49" s="81">
        <v>1.59</v>
      </c>
      <c r="G49" s="81">
        <v>1.6759999999999999</v>
      </c>
      <c r="H49" s="81">
        <v>1.728</v>
      </c>
      <c r="I49" s="81">
        <v>1.752</v>
      </c>
      <c r="J49" s="81">
        <v>1.756</v>
      </c>
      <c r="K49" s="81">
        <v>1.772</v>
      </c>
      <c r="L49" s="81">
        <v>1.9219999999999999</v>
      </c>
      <c r="M49" s="81">
        <v>2.1520000000000001</v>
      </c>
      <c r="N49" s="81" t="s">
        <v>12</v>
      </c>
      <c r="O49" s="81" t="s">
        <v>12</v>
      </c>
      <c r="P49" s="81" t="s">
        <v>12</v>
      </c>
      <c r="Q49" s="81" t="s">
        <v>12</v>
      </c>
    </row>
    <row r="50" spans="1:17" ht="16.5">
      <c r="A50" s="81" t="s">
        <v>45</v>
      </c>
      <c r="B50" s="81">
        <v>1.5529999999999999</v>
      </c>
      <c r="C50" s="81">
        <v>1.5680000000000001</v>
      </c>
      <c r="D50" s="81">
        <v>1.625</v>
      </c>
      <c r="E50" s="81">
        <v>1.6950000000000001</v>
      </c>
      <c r="F50" s="81">
        <v>1.7949999999999999</v>
      </c>
      <c r="G50" s="81">
        <v>1.8080000000000001</v>
      </c>
      <c r="H50" s="81">
        <v>1.857</v>
      </c>
      <c r="I50" s="81">
        <v>1.889</v>
      </c>
      <c r="J50" s="81">
        <v>1.883</v>
      </c>
      <c r="K50" s="81">
        <v>1.93</v>
      </c>
      <c r="L50" s="81">
        <v>2.0539999999999998</v>
      </c>
      <c r="M50" s="81">
        <v>2.589</v>
      </c>
      <c r="N50" s="81" t="s">
        <v>12</v>
      </c>
      <c r="O50" s="81" t="s">
        <v>12</v>
      </c>
      <c r="P50" s="81" t="s">
        <v>12</v>
      </c>
      <c r="Q50" s="81" t="s">
        <v>12</v>
      </c>
    </row>
    <row r="51" spans="1:17" ht="16.5">
      <c r="A51" s="81" t="s">
        <v>46</v>
      </c>
      <c r="B51" s="81">
        <v>1.9</v>
      </c>
      <c r="C51" s="81">
        <v>2.1829999999999998</v>
      </c>
      <c r="D51" s="81">
        <v>2.516</v>
      </c>
      <c r="E51" s="81">
        <v>2.7719999999999998</v>
      </c>
      <c r="F51" s="81">
        <v>3.101</v>
      </c>
      <c r="G51" s="81">
        <v>3.5470000000000002</v>
      </c>
      <c r="H51" s="81">
        <v>3.8010000000000002</v>
      </c>
      <c r="I51" s="81">
        <v>4.1360000000000001</v>
      </c>
      <c r="J51" s="81">
        <v>4.149</v>
      </c>
      <c r="K51" s="81">
        <v>4.2670000000000003</v>
      </c>
      <c r="L51" s="81">
        <v>4.2830000000000004</v>
      </c>
      <c r="M51" s="81">
        <v>4.4429999999999996</v>
      </c>
      <c r="N51" s="81" t="s">
        <v>12</v>
      </c>
      <c r="O51" s="81" t="s">
        <v>12</v>
      </c>
      <c r="P51" s="81" t="s">
        <v>12</v>
      </c>
      <c r="Q51" s="81" t="s">
        <v>12</v>
      </c>
    </row>
    <row r="52" spans="1:17" ht="16.5">
      <c r="A52" s="81" t="s">
        <v>102</v>
      </c>
      <c r="B52" s="81">
        <v>1.371</v>
      </c>
      <c r="C52" s="81">
        <v>1.389</v>
      </c>
      <c r="D52" s="81">
        <v>1.417</v>
      </c>
      <c r="E52" s="81">
        <v>1.462</v>
      </c>
      <c r="F52" s="81">
        <v>1.4990000000000001</v>
      </c>
      <c r="G52" s="81">
        <v>1.5069999999999999</v>
      </c>
      <c r="H52" s="81">
        <v>1.5169999999999999</v>
      </c>
      <c r="I52" s="81">
        <v>1.522</v>
      </c>
      <c r="J52" s="81">
        <v>1.5329999999999999</v>
      </c>
      <c r="K52" s="81">
        <v>1.538</v>
      </c>
      <c r="L52" s="81">
        <v>1.546</v>
      </c>
      <c r="M52" s="81">
        <v>1.5920000000000001</v>
      </c>
      <c r="N52" s="81">
        <v>1.673</v>
      </c>
      <c r="O52" s="81">
        <v>1.7649999999999999</v>
      </c>
      <c r="P52" s="81" t="s">
        <v>12</v>
      </c>
      <c r="Q52" s="81" t="s">
        <v>12</v>
      </c>
    </row>
    <row r="53" spans="1:17" ht="16.5">
      <c r="A53" s="81" t="s">
        <v>103</v>
      </c>
      <c r="B53" s="81">
        <v>1.4</v>
      </c>
      <c r="C53" s="81">
        <v>1.4139999999999999</v>
      </c>
      <c r="D53" s="81">
        <v>1.4419999999999999</v>
      </c>
      <c r="E53" s="81">
        <v>1.4850000000000001</v>
      </c>
      <c r="F53" s="81">
        <v>1.5209999999999999</v>
      </c>
      <c r="G53" s="81">
        <v>1.53</v>
      </c>
      <c r="H53" s="81">
        <v>1.5429999999999999</v>
      </c>
      <c r="I53" s="81">
        <v>1.548</v>
      </c>
      <c r="J53" s="81">
        <v>1.56</v>
      </c>
      <c r="K53" s="81">
        <v>1.585</v>
      </c>
      <c r="L53" s="81">
        <v>1.675</v>
      </c>
      <c r="M53" s="81">
        <v>1.8680000000000001</v>
      </c>
      <c r="N53" s="81">
        <v>2.0630000000000002</v>
      </c>
      <c r="O53" s="81">
        <v>2.1520000000000001</v>
      </c>
      <c r="P53" s="81" t="s">
        <v>12</v>
      </c>
      <c r="Q53" s="81" t="s">
        <v>12</v>
      </c>
    </row>
    <row r="54" spans="1:17" ht="16.5">
      <c r="A54" s="81" t="s">
        <v>104</v>
      </c>
      <c r="B54" s="81">
        <v>1.4419999999999999</v>
      </c>
      <c r="C54" s="81">
        <v>1.4550000000000001</v>
      </c>
      <c r="D54" s="81">
        <v>1.48</v>
      </c>
      <c r="E54" s="81">
        <v>1.5209999999999999</v>
      </c>
      <c r="F54" s="81">
        <v>1.556</v>
      </c>
      <c r="G54" s="81">
        <v>1.5669999999999999</v>
      </c>
      <c r="H54" s="81">
        <v>1.579</v>
      </c>
      <c r="I54" s="81">
        <v>1.5840000000000001</v>
      </c>
      <c r="J54" s="81">
        <v>1.597</v>
      </c>
      <c r="K54" s="81">
        <v>1.6459999999999999</v>
      </c>
      <c r="L54" s="81">
        <v>1.8280000000000001</v>
      </c>
      <c r="M54" s="81">
        <v>2.2530000000000001</v>
      </c>
      <c r="N54" s="81">
        <v>2.6659999999999999</v>
      </c>
      <c r="O54" s="81">
        <v>2.7679999999999998</v>
      </c>
      <c r="P54" s="81" t="s">
        <v>12</v>
      </c>
      <c r="Q54" s="81" t="s">
        <v>12</v>
      </c>
    </row>
    <row r="55" spans="1:17" ht="16.5">
      <c r="A55" s="81" t="s">
        <v>105</v>
      </c>
      <c r="B55" s="81">
        <v>1.47</v>
      </c>
      <c r="C55" s="81">
        <v>1.484</v>
      </c>
      <c r="D55" s="81">
        <v>1.51</v>
      </c>
      <c r="E55" s="81">
        <v>1.552</v>
      </c>
      <c r="F55" s="81">
        <v>1.587</v>
      </c>
      <c r="G55" s="81">
        <v>1.595</v>
      </c>
      <c r="H55" s="81">
        <v>1.6060000000000001</v>
      </c>
      <c r="I55" s="81">
        <v>1.611</v>
      </c>
      <c r="J55" s="81">
        <v>1.663</v>
      </c>
      <c r="K55" s="81">
        <v>1.7509999999999999</v>
      </c>
      <c r="L55" s="81">
        <v>2.0339999999999998</v>
      </c>
      <c r="M55" s="81">
        <v>2.605</v>
      </c>
      <c r="N55" s="81">
        <v>3.1429999999999998</v>
      </c>
      <c r="O55" s="81">
        <v>3.3130000000000002</v>
      </c>
      <c r="P55" s="81" t="s">
        <v>12</v>
      </c>
      <c r="Q55" s="81" t="s">
        <v>12</v>
      </c>
    </row>
    <row r="56" spans="1:17" ht="16.5">
      <c r="A56" s="81" t="s">
        <v>106</v>
      </c>
      <c r="B56" s="81">
        <v>1.5269999999999999</v>
      </c>
      <c r="C56" s="81">
        <v>1.5429999999999999</v>
      </c>
      <c r="D56" s="81">
        <v>1.5669999999999999</v>
      </c>
      <c r="E56" s="81">
        <v>1.605</v>
      </c>
      <c r="F56" s="81">
        <v>1.643</v>
      </c>
      <c r="G56" s="81">
        <v>1.6539999999999999</v>
      </c>
      <c r="H56" s="81">
        <v>1.673</v>
      </c>
      <c r="I56" s="81">
        <v>1.784</v>
      </c>
      <c r="J56" s="81">
        <v>1.91</v>
      </c>
      <c r="K56" s="81">
        <v>2.1469999999999998</v>
      </c>
      <c r="L56" s="81">
        <v>2.4409999999999998</v>
      </c>
      <c r="M56" s="81">
        <v>3.01</v>
      </c>
      <c r="N56" s="81">
        <v>3.4729999999999999</v>
      </c>
      <c r="O56" s="81">
        <v>3.6629999999999998</v>
      </c>
      <c r="P56" s="81" t="s">
        <v>12</v>
      </c>
      <c r="Q56" s="81" t="s">
        <v>12</v>
      </c>
    </row>
    <row r="57" spans="1:17" ht="16.5">
      <c r="A57" s="81" t="s">
        <v>107</v>
      </c>
      <c r="B57" s="81">
        <v>1.6719999999999999</v>
      </c>
      <c r="C57" s="81">
        <v>1.6950000000000001</v>
      </c>
      <c r="D57" s="81">
        <v>1.726</v>
      </c>
      <c r="E57" s="81">
        <v>1.7669999999999999</v>
      </c>
      <c r="F57" s="81">
        <v>1.81</v>
      </c>
      <c r="G57" s="81">
        <v>1.8280000000000001</v>
      </c>
      <c r="H57" s="81">
        <v>1.885</v>
      </c>
      <c r="I57" s="81">
        <v>2.052</v>
      </c>
      <c r="J57" s="81">
        <v>2.2570000000000001</v>
      </c>
      <c r="K57" s="81">
        <v>2.5590000000000002</v>
      </c>
      <c r="L57" s="81">
        <v>2.8740000000000001</v>
      </c>
      <c r="M57" s="81">
        <v>3.464</v>
      </c>
      <c r="N57" s="81">
        <v>3.875</v>
      </c>
      <c r="O57" s="81">
        <v>4.1040000000000001</v>
      </c>
      <c r="P57" s="81" t="s">
        <v>12</v>
      </c>
      <c r="Q57" s="81" t="s">
        <v>12</v>
      </c>
    </row>
    <row r="58" spans="1:17" ht="16.5">
      <c r="A58" s="81" t="s">
        <v>108</v>
      </c>
      <c r="B58" s="81">
        <v>1.8959999999999999</v>
      </c>
      <c r="C58" s="81">
        <v>1.9339999999999999</v>
      </c>
      <c r="D58" s="81">
        <v>1.9730000000000001</v>
      </c>
      <c r="E58" s="81">
        <v>2.028</v>
      </c>
      <c r="F58" s="81">
        <v>2.0870000000000002</v>
      </c>
      <c r="G58" s="81">
        <v>2.157</v>
      </c>
      <c r="H58" s="81">
        <v>2.2829999999999999</v>
      </c>
      <c r="I58" s="81">
        <v>2.4929999999999999</v>
      </c>
      <c r="J58" s="81">
        <v>2.7559999999999998</v>
      </c>
      <c r="K58" s="81">
        <v>3.1440000000000001</v>
      </c>
      <c r="L58" s="81">
        <v>3.4089999999999998</v>
      </c>
      <c r="M58" s="81">
        <v>3.9790000000000001</v>
      </c>
      <c r="N58" s="81">
        <v>4.3849999999999998</v>
      </c>
      <c r="O58" s="81">
        <v>4.6849999999999996</v>
      </c>
      <c r="P58" s="81" t="s">
        <v>12</v>
      </c>
      <c r="Q58" s="81" t="s">
        <v>12</v>
      </c>
    </row>
    <row r="59" spans="1:17" ht="16.5">
      <c r="A59" s="81" t="s">
        <v>109</v>
      </c>
      <c r="B59" s="81">
        <v>2.5379999999999998</v>
      </c>
      <c r="C59" s="81">
        <v>2.9020000000000001</v>
      </c>
      <c r="D59" s="81">
        <v>3.2629999999999999</v>
      </c>
      <c r="E59" s="81">
        <v>3.52</v>
      </c>
      <c r="F59" s="81">
        <v>3.9319999999999999</v>
      </c>
      <c r="G59" s="81">
        <v>4.4340000000000002</v>
      </c>
      <c r="H59" s="81">
        <v>4.7720000000000002</v>
      </c>
      <c r="I59" s="81">
        <v>5.109</v>
      </c>
      <c r="J59" s="81">
        <v>5.1630000000000003</v>
      </c>
      <c r="K59" s="81">
        <v>5.2930000000000001</v>
      </c>
      <c r="L59" s="81">
        <v>5.3789999999999996</v>
      </c>
      <c r="M59" s="81">
        <v>5.6390000000000002</v>
      </c>
      <c r="N59" s="81">
        <v>6.0579999999999998</v>
      </c>
      <c r="O59" s="81">
        <v>6.31</v>
      </c>
      <c r="P59" s="81" t="s">
        <v>12</v>
      </c>
      <c r="Q59" s="81" t="s">
        <v>12</v>
      </c>
    </row>
    <row r="60" spans="1:17" ht="16.5">
      <c r="A60" s="81" t="s">
        <v>110</v>
      </c>
      <c r="B60" s="81">
        <v>2.9180000000000001</v>
      </c>
      <c r="C60" s="81">
        <v>3.4049999999999998</v>
      </c>
      <c r="D60" s="81">
        <v>3.8439999999999999</v>
      </c>
      <c r="E60" s="81">
        <v>4.1950000000000003</v>
      </c>
      <c r="F60" s="81">
        <v>4.742</v>
      </c>
      <c r="G60" s="81">
        <v>5.3780000000000001</v>
      </c>
      <c r="H60" s="81">
        <v>5.8049999999999997</v>
      </c>
      <c r="I60" s="81">
        <v>6.1559999999999997</v>
      </c>
      <c r="J60" s="81">
        <v>6.2050000000000001</v>
      </c>
      <c r="K60" s="81">
        <v>6.34</v>
      </c>
      <c r="L60" s="81">
        <v>6.43</v>
      </c>
      <c r="M60" s="81">
        <v>6.758</v>
      </c>
      <c r="N60" s="81">
        <v>7.17</v>
      </c>
      <c r="O60" s="81">
        <v>7.4370000000000003</v>
      </c>
      <c r="P60" s="81" t="s">
        <v>12</v>
      </c>
      <c r="Q60" s="81" t="s">
        <v>12</v>
      </c>
    </row>
    <row r="61" spans="1:17" ht="16.5">
      <c r="A61" s="81" t="s">
        <v>111</v>
      </c>
      <c r="B61" s="81">
        <v>3.593</v>
      </c>
      <c r="C61" s="81">
        <v>4.202</v>
      </c>
      <c r="D61" s="81">
        <v>4.7779999999999996</v>
      </c>
      <c r="E61" s="81">
        <v>5.1829999999999998</v>
      </c>
      <c r="F61" s="81">
        <v>5.8570000000000002</v>
      </c>
      <c r="G61" s="81">
        <v>6.5369999999999999</v>
      </c>
      <c r="H61" s="81">
        <v>7.04</v>
      </c>
      <c r="I61" s="81">
        <v>7.5250000000000004</v>
      </c>
      <c r="J61" s="81">
        <v>7.6319999999999997</v>
      </c>
      <c r="K61" s="81">
        <v>7.7610000000000001</v>
      </c>
      <c r="L61" s="81">
        <v>7.85</v>
      </c>
      <c r="M61" s="81">
        <v>8.1839999999999993</v>
      </c>
      <c r="N61" s="81">
        <v>8.6509999999999998</v>
      </c>
      <c r="O61" s="81">
        <v>8.8989999999999991</v>
      </c>
      <c r="P61" s="81" t="s">
        <v>12</v>
      </c>
      <c r="Q61" s="81" t="s">
        <v>12</v>
      </c>
    </row>
    <row r="62" spans="1:17" ht="16.5">
      <c r="A62" s="81" t="s">
        <v>223</v>
      </c>
      <c r="B62" s="81">
        <v>5.0789999999999997</v>
      </c>
      <c r="C62" s="81">
        <v>5.8760000000000003</v>
      </c>
      <c r="D62" s="81">
        <v>6.4740000000000002</v>
      </c>
      <c r="E62" s="81">
        <v>7.0880000000000001</v>
      </c>
      <c r="F62" s="81">
        <v>7.7089999999999996</v>
      </c>
      <c r="G62" s="81">
        <v>8.3789999999999996</v>
      </c>
      <c r="H62" s="81">
        <v>9.0280000000000005</v>
      </c>
      <c r="I62" s="81">
        <v>9.6050000000000004</v>
      </c>
      <c r="J62" s="81">
        <v>9.8889999999999993</v>
      </c>
      <c r="K62" s="81">
        <v>10.167</v>
      </c>
      <c r="L62" s="81">
        <v>10.412000000000001</v>
      </c>
      <c r="M62" s="81">
        <v>10.557</v>
      </c>
      <c r="N62" s="81">
        <v>11.276</v>
      </c>
      <c r="O62" s="81">
        <v>11.608000000000001</v>
      </c>
      <c r="P62" s="81" t="s">
        <v>12</v>
      </c>
      <c r="Q62" s="81" t="s">
        <v>12</v>
      </c>
    </row>
    <row r="63" spans="1:17" ht="16.5">
      <c r="A63" s="81" t="s">
        <v>224</v>
      </c>
      <c r="B63" s="81">
        <v>5.8239999999999998</v>
      </c>
      <c r="C63" s="81">
        <v>6.6479999999999997</v>
      </c>
      <c r="D63" s="81">
        <v>7.2939999999999996</v>
      </c>
      <c r="E63" s="81">
        <v>7.9050000000000002</v>
      </c>
      <c r="F63" s="81">
        <v>8.5359999999999996</v>
      </c>
      <c r="G63" s="81">
        <v>9.2729999999999997</v>
      </c>
      <c r="H63" s="81">
        <v>10.135999999999999</v>
      </c>
      <c r="I63" s="81">
        <v>10.765000000000001</v>
      </c>
      <c r="J63" s="81">
        <v>11.019</v>
      </c>
      <c r="K63" s="81">
        <v>11.21</v>
      </c>
      <c r="L63" s="81">
        <v>11.486000000000001</v>
      </c>
      <c r="M63" s="81">
        <v>11.638</v>
      </c>
      <c r="N63" s="81">
        <v>12.445</v>
      </c>
      <c r="O63" s="81">
        <v>12.826000000000001</v>
      </c>
      <c r="P63" s="81" t="s">
        <v>12</v>
      </c>
      <c r="Q63" s="81" t="s">
        <v>12</v>
      </c>
    </row>
    <row r="64" spans="1:17" ht="16.5">
      <c r="A64" s="81" t="s">
        <v>225</v>
      </c>
      <c r="B64" s="81">
        <v>6.5389999999999997</v>
      </c>
      <c r="C64" s="81">
        <v>7.5060000000000002</v>
      </c>
      <c r="D64" s="81">
        <v>8.1300000000000008</v>
      </c>
      <c r="E64" s="81">
        <v>8.7539999999999996</v>
      </c>
      <c r="F64" s="81">
        <v>9.3849999999999998</v>
      </c>
      <c r="G64" s="81">
        <v>10.19</v>
      </c>
      <c r="H64" s="81">
        <v>11.096</v>
      </c>
      <c r="I64" s="81">
        <v>11.682</v>
      </c>
      <c r="J64" s="81">
        <v>11.917</v>
      </c>
      <c r="K64" s="81">
        <v>12.129</v>
      </c>
      <c r="L64" s="81">
        <v>12.420999999999999</v>
      </c>
      <c r="M64" s="81">
        <v>12.616</v>
      </c>
      <c r="N64" s="81">
        <v>13.086</v>
      </c>
      <c r="O64" s="81">
        <v>13.478</v>
      </c>
      <c r="P64" s="81" t="s">
        <v>12</v>
      </c>
      <c r="Q64" s="81" t="s">
        <v>12</v>
      </c>
    </row>
    <row r="65" spans="1:17" ht="16.5">
      <c r="A65" s="81" t="s">
        <v>112</v>
      </c>
      <c r="B65" s="81">
        <v>1.4330000000000001</v>
      </c>
      <c r="C65" s="81">
        <v>1.496</v>
      </c>
      <c r="D65" s="81">
        <v>1.5349999999999999</v>
      </c>
      <c r="E65" s="81">
        <v>1.59</v>
      </c>
      <c r="F65" s="81">
        <v>1.645</v>
      </c>
      <c r="G65" s="81">
        <v>1.665</v>
      </c>
      <c r="H65" s="81">
        <v>1.6850000000000001</v>
      </c>
      <c r="I65" s="81">
        <v>1.6950000000000001</v>
      </c>
      <c r="J65" s="81">
        <v>1.7190000000000001</v>
      </c>
      <c r="K65" s="81">
        <v>1.7509999999999999</v>
      </c>
      <c r="L65" s="81">
        <v>1.79</v>
      </c>
      <c r="M65" s="81">
        <v>1.875</v>
      </c>
      <c r="N65" s="81">
        <v>1.9950000000000001</v>
      </c>
      <c r="O65" s="81">
        <v>2.11</v>
      </c>
      <c r="P65" s="81" t="s">
        <v>12</v>
      </c>
      <c r="Q65" s="81" t="s">
        <v>12</v>
      </c>
    </row>
    <row r="66" spans="1:17" ht="16.5">
      <c r="A66" s="81" t="s">
        <v>113</v>
      </c>
      <c r="B66" s="81">
        <v>1.472</v>
      </c>
      <c r="C66" s="81">
        <v>1.54</v>
      </c>
      <c r="D66" s="81">
        <v>1.5860000000000001</v>
      </c>
      <c r="E66" s="81">
        <v>1.64</v>
      </c>
      <c r="F66" s="81">
        <v>1.6930000000000001</v>
      </c>
      <c r="G66" s="81">
        <v>1.712</v>
      </c>
      <c r="H66" s="81">
        <v>1.7390000000000001</v>
      </c>
      <c r="I66" s="81">
        <v>1.7470000000000001</v>
      </c>
      <c r="J66" s="81">
        <v>1.774</v>
      </c>
      <c r="K66" s="81">
        <v>1.8240000000000001</v>
      </c>
      <c r="L66" s="81">
        <v>1.9379999999999999</v>
      </c>
      <c r="M66" s="81">
        <v>2.1669999999999998</v>
      </c>
      <c r="N66" s="81">
        <v>2.4</v>
      </c>
      <c r="O66" s="81">
        <v>2.5030000000000001</v>
      </c>
      <c r="P66" s="81" t="s">
        <v>12</v>
      </c>
      <c r="Q66" s="81" t="s">
        <v>12</v>
      </c>
    </row>
    <row r="67" spans="1:17" ht="16.5">
      <c r="A67" s="81" t="s">
        <v>114</v>
      </c>
      <c r="B67" s="81">
        <v>1.526</v>
      </c>
      <c r="C67" s="81">
        <v>1.599</v>
      </c>
      <c r="D67" s="81">
        <v>1.64</v>
      </c>
      <c r="E67" s="81">
        <v>1.6950000000000001</v>
      </c>
      <c r="F67" s="81">
        <v>1.7490000000000001</v>
      </c>
      <c r="G67" s="81">
        <v>1.7729999999999999</v>
      </c>
      <c r="H67" s="81">
        <v>1.79</v>
      </c>
      <c r="I67" s="81">
        <v>1.8089999999999999</v>
      </c>
      <c r="J67" s="81">
        <v>1.8340000000000001</v>
      </c>
      <c r="K67" s="81">
        <v>1.9079999999999999</v>
      </c>
      <c r="L67" s="81">
        <v>2.1150000000000002</v>
      </c>
      <c r="M67" s="81">
        <v>2.5649999999999999</v>
      </c>
      <c r="N67" s="81">
        <v>3.016</v>
      </c>
      <c r="O67" s="81">
        <v>3.1280000000000001</v>
      </c>
      <c r="P67" s="81" t="s">
        <v>12</v>
      </c>
      <c r="Q67" s="81" t="s">
        <v>12</v>
      </c>
    </row>
    <row r="68" spans="1:17" ht="16.5">
      <c r="A68" s="81" t="s">
        <v>115</v>
      </c>
      <c r="B68" s="81">
        <v>1.5720000000000001</v>
      </c>
      <c r="C68" s="81">
        <v>1.645</v>
      </c>
      <c r="D68" s="81">
        <v>1.6879999999999999</v>
      </c>
      <c r="E68" s="81">
        <v>1.7450000000000001</v>
      </c>
      <c r="F68" s="81">
        <v>1.8029999999999999</v>
      </c>
      <c r="G68" s="81">
        <v>1.8220000000000001</v>
      </c>
      <c r="H68" s="81">
        <v>1.8440000000000001</v>
      </c>
      <c r="I68" s="81">
        <v>1.867</v>
      </c>
      <c r="J68" s="81">
        <v>1.9319999999999999</v>
      </c>
      <c r="K68" s="81">
        <v>2.0499999999999998</v>
      </c>
      <c r="L68" s="81">
        <v>2.3650000000000002</v>
      </c>
      <c r="M68" s="81">
        <v>2.9510000000000001</v>
      </c>
      <c r="N68" s="81">
        <v>3.5169999999999999</v>
      </c>
      <c r="O68" s="81">
        <v>3.698</v>
      </c>
      <c r="P68" s="81" t="s">
        <v>12</v>
      </c>
      <c r="Q68" s="81" t="s">
        <v>12</v>
      </c>
    </row>
    <row r="69" spans="1:17" ht="16.5">
      <c r="A69" s="81" t="s">
        <v>116</v>
      </c>
      <c r="B69" s="81">
        <v>1.7150000000000001</v>
      </c>
      <c r="C69" s="81">
        <v>1.78</v>
      </c>
      <c r="D69" s="81">
        <v>1.823</v>
      </c>
      <c r="E69" s="81">
        <v>1.875</v>
      </c>
      <c r="F69" s="81">
        <v>1.9359999999999999</v>
      </c>
      <c r="G69" s="81">
        <v>1.9690000000000001</v>
      </c>
      <c r="H69" s="81">
        <v>2.0190000000000001</v>
      </c>
      <c r="I69" s="81">
        <v>2.14</v>
      </c>
      <c r="J69" s="81">
        <v>2.2810000000000001</v>
      </c>
      <c r="K69" s="81">
        <v>2.5430000000000001</v>
      </c>
      <c r="L69" s="81">
        <v>2.8690000000000002</v>
      </c>
      <c r="M69" s="81">
        <v>3.4780000000000002</v>
      </c>
      <c r="N69" s="81">
        <v>3.9820000000000002</v>
      </c>
      <c r="O69" s="81">
        <v>4.1840000000000002</v>
      </c>
      <c r="P69" s="81" t="s">
        <v>12</v>
      </c>
      <c r="Q69" s="81" t="s">
        <v>12</v>
      </c>
    </row>
    <row r="70" spans="1:17" ht="16.5">
      <c r="A70" s="81" t="s">
        <v>117</v>
      </c>
      <c r="B70" s="81">
        <v>1.88</v>
      </c>
      <c r="C70" s="81">
        <v>1.9630000000000001</v>
      </c>
      <c r="D70" s="81">
        <v>2.0139999999999998</v>
      </c>
      <c r="E70" s="81">
        <v>2.0640000000000001</v>
      </c>
      <c r="F70" s="81">
        <v>2.129</v>
      </c>
      <c r="G70" s="81">
        <v>2.1760000000000002</v>
      </c>
      <c r="H70" s="81">
        <v>2.2629999999999999</v>
      </c>
      <c r="I70" s="81">
        <v>2.4380000000000002</v>
      </c>
      <c r="J70" s="81">
        <v>2.6749999999999998</v>
      </c>
      <c r="K70" s="81">
        <v>2.9950000000000001</v>
      </c>
      <c r="L70" s="81">
        <v>3.339</v>
      </c>
      <c r="M70" s="81">
        <v>3.976</v>
      </c>
      <c r="N70" s="81">
        <v>4.423</v>
      </c>
      <c r="O70" s="81">
        <v>4.6619999999999999</v>
      </c>
      <c r="P70" s="81" t="s">
        <v>12</v>
      </c>
      <c r="Q70" s="81" t="s">
        <v>12</v>
      </c>
    </row>
    <row r="71" spans="1:17" ht="16.5">
      <c r="A71" s="81" t="s">
        <v>118</v>
      </c>
      <c r="B71" s="81">
        <v>2.1440000000000001</v>
      </c>
      <c r="C71" s="81">
        <v>2.2400000000000002</v>
      </c>
      <c r="D71" s="81">
        <v>2.3050000000000002</v>
      </c>
      <c r="E71" s="81">
        <v>2.3740000000000001</v>
      </c>
      <c r="F71" s="81">
        <v>2.4550000000000001</v>
      </c>
      <c r="G71" s="81">
        <v>2.544</v>
      </c>
      <c r="H71" s="81">
        <v>2.6920000000000002</v>
      </c>
      <c r="I71" s="81">
        <v>2.923</v>
      </c>
      <c r="J71" s="81">
        <v>3.1909999999999998</v>
      </c>
      <c r="K71" s="81">
        <v>3.6139999999999999</v>
      </c>
      <c r="L71" s="81">
        <v>3.9</v>
      </c>
      <c r="M71" s="81">
        <v>4.5129999999999999</v>
      </c>
      <c r="N71" s="81">
        <v>4.9550000000000001</v>
      </c>
      <c r="O71" s="81">
        <v>5.2510000000000003</v>
      </c>
      <c r="P71" s="81" t="s">
        <v>12</v>
      </c>
      <c r="Q71" s="81" t="s">
        <v>12</v>
      </c>
    </row>
    <row r="72" spans="1:17" ht="16.5">
      <c r="A72" s="81" t="s">
        <v>119</v>
      </c>
      <c r="B72" s="81">
        <v>2.8069999999999999</v>
      </c>
      <c r="C72" s="81">
        <v>3.2469999999999999</v>
      </c>
      <c r="D72" s="81">
        <v>3.694</v>
      </c>
      <c r="E72" s="81">
        <v>3.976</v>
      </c>
      <c r="F72" s="81">
        <v>4.4160000000000004</v>
      </c>
      <c r="G72" s="81">
        <v>4.9189999999999996</v>
      </c>
      <c r="H72" s="81">
        <v>5.2839999999999998</v>
      </c>
      <c r="I72" s="81">
        <v>5.6479999999999997</v>
      </c>
      <c r="J72" s="81">
        <v>5.7220000000000004</v>
      </c>
      <c r="K72" s="81">
        <v>5.8769999999999998</v>
      </c>
      <c r="L72" s="81">
        <v>5.976</v>
      </c>
      <c r="M72" s="81">
        <v>6.266</v>
      </c>
      <c r="N72" s="81">
        <v>6.7160000000000002</v>
      </c>
      <c r="O72" s="81">
        <v>6.9690000000000003</v>
      </c>
      <c r="P72" s="81" t="s">
        <v>12</v>
      </c>
      <c r="Q72" s="81" t="s">
        <v>12</v>
      </c>
    </row>
    <row r="73" spans="1:17" ht="16.5">
      <c r="A73" s="81" t="s">
        <v>120</v>
      </c>
      <c r="B73" s="81">
        <v>3.2050000000000001</v>
      </c>
      <c r="C73" s="81">
        <v>3.774</v>
      </c>
      <c r="D73" s="81">
        <v>4.2949999999999999</v>
      </c>
      <c r="E73" s="81">
        <v>4.7089999999999996</v>
      </c>
      <c r="F73" s="81">
        <v>5.2709999999999999</v>
      </c>
      <c r="G73" s="81">
        <v>5.9219999999999997</v>
      </c>
      <c r="H73" s="81">
        <v>6.3739999999999997</v>
      </c>
      <c r="I73" s="81">
        <v>6.7619999999999996</v>
      </c>
      <c r="J73" s="81">
        <v>6.8570000000000002</v>
      </c>
      <c r="K73" s="81">
        <v>7.0149999999999997</v>
      </c>
      <c r="L73" s="81">
        <v>7.1260000000000003</v>
      </c>
      <c r="M73" s="81">
        <v>7.4870000000000001</v>
      </c>
      <c r="N73" s="81">
        <v>7.923</v>
      </c>
      <c r="O73" s="81">
        <v>8.1969999999999992</v>
      </c>
      <c r="P73" s="81" t="s">
        <v>12</v>
      </c>
      <c r="Q73" s="81" t="s">
        <v>12</v>
      </c>
    </row>
    <row r="74" spans="1:17" ht="16.5">
      <c r="A74" s="81" t="s">
        <v>121</v>
      </c>
      <c r="B74" s="81">
        <v>4.1849999999999996</v>
      </c>
      <c r="C74" s="81">
        <v>4.8540000000000001</v>
      </c>
      <c r="D74" s="81">
        <v>5.5049999999999999</v>
      </c>
      <c r="E74" s="81">
        <v>5.9640000000000004</v>
      </c>
      <c r="F74" s="81">
        <v>6.6890000000000001</v>
      </c>
      <c r="G74" s="81">
        <v>7.3860000000000001</v>
      </c>
      <c r="H74" s="81">
        <v>7.92</v>
      </c>
      <c r="I74" s="81">
        <v>8.4359999999999999</v>
      </c>
      <c r="J74" s="81">
        <v>8.5649999999999995</v>
      </c>
      <c r="K74" s="81">
        <v>8.7170000000000005</v>
      </c>
      <c r="L74" s="81">
        <v>8.8190000000000008</v>
      </c>
      <c r="M74" s="81">
        <v>9.1660000000000004</v>
      </c>
      <c r="N74" s="81">
        <v>9.6489999999999991</v>
      </c>
      <c r="O74" s="81">
        <v>9.9109999999999996</v>
      </c>
      <c r="P74" s="81" t="s">
        <v>12</v>
      </c>
      <c r="Q74" s="81" t="s">
        <v>12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7"/>
  <dimension ref="A1:Z68"/>
  <sheetViews>
    <sheetView zoomScale="160" zoomScaleNormal="160" workbookViewId="0">
      <selection activeCell="C24" sqref="C24:M24"/>
    </sheetView>
  </sheetViews>
  <sheetFormatPr defaultRowHeight="13.5"/>
  <cols>
    <col min="1" max="1" width="2.33203125" style="50" customWidth="1"/>
    <col min="2" max="2" width="4" style="50" bestFit="1" customWidth="1"/>
    <col min="3" max="4" width="4.88671875" style="50" bestFit="1" customWidth="1"/>
    <col min="5" max="5" width="4.6640625" style="50" bestFit="1" customWidth="1"/>
    <col min="6" max="13" width="4.88671875" style="50" bestFit="1" customWidth="1"/>
    <col min="14" max="14" width="4.6640625" style="50" bestFit="1" customWidth="1"/>
    <col min="15" max="16384" width="8.88671875" style="50"/>
  </cols>
  <sheetData>
    <row r="1" spans="1:14">
      <c r="A1" s="344" t="s">
        <v>18</v>
      </c>
      <c r="B1" s="345"/>
      <c r="C1" s="281" t="s">
        <v>19</v>
      </c>
      <c r="D1" s="281" t="s">
        <v>20</v>
      </c>
      <c r="E1" s="281" t="s">
        <v>21</v>
      </c>
      <c r="F1" s="281" t="s">
        <v>22</v>
      </c>
      <c r="G1" s="281" t="s">
        <v>65</v>
      </c>
      <c r="H1" s="281" t="s">
        <v>24</v>
      </c>
      <c r="I1" s="281" t="s">
        <v>59</v>
      </c>
      <c r="J1" s="281" t="s">
        <v>26</v>
      </c>
      <c r="K1" s="281" t="s">
        <v>27</v>
      </c>
      <c r="L1" s="281" t="s">
        <v>28</v>
      </c>
      <c r="M1" s="281" t="s">
        <v>29</v>
      </c>
      <c r="N1" s="280" t="s">
        <v>30</v>
      </c>
    </row>
    <row r="2" spans="1:14">
      <c r="A2" s="342" t="s">
        <v>32</v>
      </c>
      <c r="B2" s="343"/>
      <c r="C2" s="278">
        <f>시평!B2</f>
        <v>1.2470000000000001</v>
      </c>
      <c r="D2" s="278">
        <f>시평!C2</f>
        <v>1.2030000000000001</v>
      </c>
      <c r="E2" s="278">
        <f>시평!D2</f>
        <v>1.1659999999999999</v>
      </c>
      <c r="F2" s="278">
        <f>시평!E2</f>
        <v>1.1579999999999999</v>
      </c>
      <c r="G2" s="278">
        <f>시평!F2</f>
        <v>1.216</v>
      </c>
      <c r="H2" s="278">
        <f>시평!G2</f>
        <v>1.2430000000000001</v>
      </c>
      <c r="I2" s="278">
        <f>시평!H2</f>
        <v>1.2470000000000001</v>
      </c>
      <c r="J2" s="278">
        <f>시평!I2</f>
        <v>1.216</v>
      </c>
      <c r="K2" s="278">
        <f>시평!J2</f>
        <v>1.2729999999999999</v>
      </c>
      <c r="L2" s="278">
        <f>시평!K2</f>
        <v>1.2769999999999999</v>
      </c>
      <c r="M2" s="278">
        <f>시평!L2</f>
        <v>1.3080000000000001</v>
      </c>
      <c r="N2" s="279">
        <f>시평!M2</f>
        <v>1.32</v>
      </c>
    </row>
    <row r="3" spans="1:14">
      <c r="A3" s="333" t="s">
        <v>61</v>
      </c>
      <c r="B3" s="334"/>
      <c r="C3" s="59">
        <f>시평!B3</f>
        <v>1.2609999999999999</v>
      </c>
      <c r="D3" s="59">
        <f>시평!C3</f>
        <v>1.2390000000000001</v>
      </c>
      <c r="E3" s="59">
        <f>시평!D3</f>
        <v>1.2270000000000001</v>
      </c>
      <c r="F3" s="59">
        <f>시평!E3</f>
        <v>1.252</v>
      </c>
      <c r="G3" s="59">
        <f>시평!F3</f>
        <v>1.2829999999999999</v>
      </c>
      <c r="H3" s="59">
        <f>시평!G3</f>
        <v>1.296</v>
      </c>
      <c r="I3" s="59">
        <f>시평!H3</f>
        <v>1.304</v>
      </c>
      <c r="J3" s="59">
        <f>시평!I3</f>
        <v>1.3069999999999999</v>
      </c>
      <c r="K3" s="59">
        <f>시평!J3</f>
        <v>1.3240000000000001</v>
      </c>
      <c r="L3" s="59">
        <f>시평!K3</f>
        <v>1.345</v>
      </c>
      <c r="M3" s="59" t="str">
        <f>시평!L3</f>
        <v>-</v>
      </c>
      <c r="N3" s="229" t="str">
        <f>시평!M3</f>
        <v>-</v>
      </c>
    </row>
    <row r="4" spans="1:14">
      <c r="A4" s="348" t="s">
        <v>173</v>
      </c>
      <c r="B4" s="349"/>
      <c r="C4" s="63">
        <f>시평!B7</f>
        <v>1.371</v>
      </c>
      <c r="D4" s="63">
        <f>시평!C7</f>
        <v>1.3420000000000001</v>
      </c>
      <c r="E4" s="63">
        <f>시평!D7</f>
        <v>1.335</v>
      </c>
      <c r="F4" s="63">
        <f>시평!E7</f>
        <v>1.36</v>
      </c>
      <c r="G4" s="63">
        <f>시평!F7</f>
        <v>1.3939999999999999</v>
      </c>
      <c r="H4" s="63">
        <f>시평!G7</f>
        <v>1.4019999999999999</v>
      </c>
      <c r="I4" s="63">
        <f>시평!H7</f>
        <v>1.385</v>
      </c>
      <c r="J4" s="63">
        <f>시평!I7</f>
        <v>1.385</v>
      </c>
      <c r="K4" s="63">
        <f>시평!J7</f>
        <v>1.397</v>
      </c>
      <c r="L4" s="63">
        <f>시평!K7</f>
        <v>1.409</v>
      </c>
      <c r="M4" s="63">
        <f>시평!L7</f>
        <v>1.405</v>
      </c>
      <c r="N4" s="87">
        <f>시평!M7</f>
        <v>1.427</v>
      </c>
    </row>
    <row r="5" spans="1:14">
      <c r="A5" s="340" t="s">
        <v>180</v>
      </c>
      <c r="B5" s="341"/>
      <c r="C5" s="89">
        <f>시평!B8</f>
        <v>1.331</v>
      </c>
      <c r="D5" s="89">
        <f>시평!C8</f>
        <v>1.3029999999999999</v>
      </c>
      <c r="E5" s="89">
        <f>시평!D8</f>
        <v>1.296</v>
      </c>
      <c r="F5" s="89">
        <f>시평!E8</f>
        <v>1.3160000000000001</v>
      </c>
      <c r="G5" s="89">
        <f>시평!F8</f>
        <v>1.353</v>
      </c>
      <c r="H5" s="89">
        <f>시평!G8</f>
        <v>1.3620000000000001</v>
      </c>
      <c r="I5" s="89">
        <f>시평!H8</f>
        <v>1.347</v>
      </c>
      <c r="J5" s="89">
        <f>시평!I8</f>
        <v>1.347</v>
      </c>
      <c r="K5" s="89">
        <f>시평!J8</f>
        <v>1.3640000000000001</v>
      </c>
      <c r="L5" s="89">
        <f>시평!K8</f>
        <v>1.3759999999999999</v>
      </c>
      <c r="M5" s="89">
        <f>시평!L8</f>
        <v>1.373</v>
      </c>
      <c r="N5" s="88">
        <f>시평!M8</f>
        <v>1.3959999999999999</v>
      </c>
    </row>
    <row r="6" spans="1:14">
      <c r="A6" s="346" t="s">
        <v>36</v>
      </c>
      <c r="B6" s="347"/>
      <c r="C6" s="65">
        <f>시평!B$9</f>
        <v>1.3680000000000001</v>
      </c>
      <c r="D6" s="66">
        <f>시평!C$9</f>
        <v>1.3360000000000001</v>
      </c>
      <c r="E6" s="66">
        <f>시평!D$9</f>
        <v>1.329</v>
      </c>
      <c r="F6" s="66">
        <f>시평!E$9</f>
        <v>1.353</v>
      </c>
      <c r="G6" s="66">
        <f>시평!F$9</f>
        <v>1.3879999999999999</v>
      </c>
      <c r="H6" s="66">
        <f>시평!G$9</f>
        <v>1.3959999999999999</v>
      </c>
      <c r="I6" s="66">
        <f>시평!H$9</f>
        <v>1.379</v>
      </c>
      <c r="J6" s="66">
        <f>시평!I$9</f>
        <v>1.3779999999999999</v>
      </c>
      <c r="K6" s="66">
        <f>시평!J$9</f>
        <v>1.393</v>
      </c>
      <c r="L6" s="66">
        <f>시평!K$9</f>
        <v>1.403</v>
      </c>
      <c r="M6" s="66">
        <f>시평!L$9</f>
        <v>1.4019999999999999</v>
      </c>
      <c r="N6" s="67">
        <f>시평!M$9</f>
        <v>1.425</v>
      </c>
    </row>
    <row r="7" spans="1:14">
      <c r="A7" s="326" t="s">
        <v>37</v>
      </c>
      <c r="B7" s="327"/>
      <c r="C7" s="63">
        <f>시평!B$10</f>
        <v>1.397</v>
      </c>
      <c r="D7" s="64">
        <f>시평!C$10</f>
        <v>1.3779999999999999</v>
      </c>
      <c r="E7" s="64">
        <f>시평!D$10</f>
        <v>1.371</v>
      </c>
      <c r="F7" s="64">
        <f>시평!E$10</f>
        <v>1.401</v>
      </c>
      <c r="G7" s="64">
        <f>시평!F$10</f>
        <v>1.4379999999999999</v>
      </c>
      <c r="H7" s="64">
        <f>시평!G$10</f>
        <v>1.446</v>
      </c>
      <c r="I7" s="64">
        <f>시평!H$10</f>
        <v>1.4319999999999999</v>
      </c>
      <c r="J7" s="64">
        <f>시평!I$10</f>
        <v>1.4330000000000001</v>
      </c>
      <c r="K7" s="64">
        <f>시평!J$10</f>
        <v>1.4530000000000001</v>
      </c>
      <c r="L7" s="64">
        <f>시평!K$10</f>
        <v>1.4950000000000001</v>
      </c>
      <c r="M7" s="64">
        <f>시평!L$10</f>
        <v>1.5389999999999999</v>
      </c>
      <c r="N7" s="62">
        <f>시평!M$10</f>
        <v>1.619</v>
      </c>
    </row>
    <row r="8" spans="1:14">
      <c r="A8" s="328" t="s">
        <v>39</v>
      </c>
      <c r="B8" s="329"/>
      <c r="C8" s="54">
        <f>시평!B$14</f>
        <v>1.417</v>
      </c>
      <c r="D8" s="56">
        <f>시평!C$14</f>
        <v>1.3640000000000001</v>
      </c>
      <c r="E8" s="56">
        <f>시평!D$14</f>
        <v>1.3360000000000001</v>
      </c>
      <c r="F8" s="56">
        <f>시평!E$14</f>
        <v>1.3540000000000001</v>
      </c>
      <c r="G8" s="56">
        <f>시평!F$14</f>
        <v>1.38</v>
      </c>
      <c r="H8" s="56">
        <f>시평!G$14</f>
        <v>1.3759999999999999</v>
      </c>
      <c r="I8" s="56">
        <f>시평!H$14</f>
        <v>1.3680000000000001</v>
      </c>
      <c r="J8" s="56">
        <f>시평!I$14</f>
        <v>1.3680000000000001</v>
      </c>
      <c r="K8" s="56">
        <f>시평!J$14</f>
        <v>1.3859999999999999</v>
      </c>
      <c r="L8" s="56">
        <f>시평!K$14</f>
        <v>1.425</v>
      </c>
      <c r="M8" s="56">
        <f>시평!L$14</f>
        <v>1.431</v>
      </c>
      <c r="N8" s="55">
        <f>시평!M$14</f>
        <v>1.4830000000000001</v>
      </c>
    </row>
    <row r="9" spans="1:14">
      <c r="A9" s="333" t="s">
        <v>40</v>
      </c>
      <c r="B9" s="334"/>
      <c r="C9" s="57">
        <f>시평!B$15</f>
        <v>1.417</v>
      </c>
      <c r="D9" s="60">
        <f>시평!C$15</f>
        <v>1.3640000000000001</v>
      </c>
      <c r="E9" s="60">
        <f>시평!D$15</f>
        <v>1.3360000000000001</v>
      </c>
      <c r="F9" s="60">
        <f>시평!E$15</f>
        <v>1.3540000000000001</v>
      </c>
      <c r="G9" s="60">
        <f>시평!F$15</f>
        <v>1.38</v>
      </c>
      <c r="H9" s="60">
        <f>시평!G$15</f>
        <v>1.3759999999999999</v>
      </c>
      <c r="I9" s="60">
        <f>시평!H$15</f>
        <v>1.373</v>
      </c>
      <c r="J9" s="60">
        <f>시평!I$15</f>
        <v>1.375</v>
      </c>
      <c r="K9" s="60">
        <f>시평!J$15</f>
        <v>1.403</v>
      </c>
      <c r="L9" s="60">
        <f>시평!K$15</f>
        <v>1.4390000000000001</v>
      </c>
      <c r="M9" s="60">
        <f>시평!L$15</f>
        <v>1.4570000000000001</v>
      </c>
      <c r="N9" s="58">
        <f>시평!M$15</f>
        <v>1.518</v>
      </c>
    </row>
    <row r="10" spans="1:14">
      <c r="A10" s="335" t="s">
        <v>41</v>
      </c>
      <c r="B10" s="336"/>
      <c r="C10" s="68">
        <f>시평!B$16</f>
        <v>1.4359999999999999</v>
      </c>
      <c r="D10" s="74">
        <f>시평!C$16</f>
        <v>1.387</v>
      </c>
      <c r="E10" s="74">
        <f>시평!D$16</f>
        <v>1.3640000000000001</v>
      </c>
      <c r="F10" s="74">
        <f>시평!E$16</f>
        <v>1.39</v>
      </c>
      <c r="G10" s="74">
        <f>시평!F$16</f>
        <v>1.42</v>
      </c>
      <c r="H10" s="74">
        <f>시평!G$16</f>
        <v>1.419</v>
      </c>
      <c r="I10" s="74">
        <f>시평!H$16</f>
        <v>1.413</v>
      </c>
      <c r="J10" s="74">
        <f>시평!I$16</f>
        <v>1.417</v>
      </c>
      <c r="K10" s="74">
        <f>시평!J$16</f>
        <v>1.4330000000000001</v>
      </c>
      <c r="L10" s="74">
        <f>시평!K$16</f>
        <v>1.4570000000000001</v>
      </c>
      <c r="M10" s="74">
        <f>시평!L$16</f>
        <v>1.496</v>
      </c>
      <c r="N10" s="75">
        <f>시평!M$16</f>
        <v>1.577</v>
      </c>
    </row>
    <row r="11" spans="1:14">
      <c r="A11" s="326" t="s">
        <v>42</v>
      </c>
      <c r="B11" s="327"/>
      <c r="C11" s="61">
        <f>시평!B$17</f>
        <v>1.478</v>
      </c>
      <c r="D11" s="64">
        <f>시평!C$17</f>
        <v>1.4339999999999999</v>
      </c>
      <c r="E11" s="64">
        <f>시평!D$17</f>
        <v>1.415</v>
      </c>
      <c r="F11" s="64">
        <f>시평!E$17</f>
        <v>1.4490000000000001</v>
      </c>
      <c r="G11" s="64">
        <f>시평!F$17</f>
        <v>1.482</v>
      </c>
      <c r="H11" s="64">
        <f>시평!G$17</f>
        <v>1.49</v>
      </c>
      <c r="I11" s="64">
        <f>시평!H$17</f>
        <v>1.4890000000000001</v>
      </c>
      <c r="J11" s="64">
        <f>시평!I$17</f>
        <v>1.4930000000000001</v>
      </c>
      <c r="K11" s="64">
        <f>시평!J$17</f>
        <v>1.5069999999999999</v>
      </c>
      <c r="L11" s="64">
        <f>시평!K$17</f>
        <v>1.522</v>
      </c>
      <c r="M11" s="64">
        <f>시평!L$17</f>
        <v>1.5329999999999999</v>
      </c>
      <c r="N11" s="62">
        <f>시평!M$17</f>
        <v>1.6240000000000001</v>
      </c>
    </row>
    <row r="12" spans="1:14">
      <c r="A12" s="337" t="s">
        <v>147</v>
      </c>
      <c r="B12" s="69" t="s">
        <v>148</v>
      </c>
      <c r="C12" s="54">
        <f>시평!B32</f>
        <v>1.52</v>
      </c>
      <c r="D12" s="56">
        <f>시평!C32</f>
        <v>1.512</v>
      </c>
      <c r="E12" s="56">
        <f>시평!D32</f>
        <v>1.4890000000000001</v>
      </c>
      <c r="F12" s="56">
        <f>시평!E32</f>
        <v>1.5069999999999999</v>
      </c>
      <c r="G12" s="56">
        <f>시평!F32</f>
        <v>1.5580000000000001</v>
      </c>
      <c r="H12" s="56">
        <f>시평!G32</f>
        <v>1.5640000000000001</v>
      </c>
      <c r="I12" s="56">
        <f>시평!H32</f>
        <v>1.5509999999999999</v>
      </c>
      <c r="J12" s="56">
        <f>시평!I32</f>
        <v>1.5509999999999999</v>
      </c>
      <c r="K12" s="56">
        <f>시평!J32</f>
        <v>1.556</v>
      </c>
      <c r="L12" s="56">
        <f>시평!K32</f>
        <v>1.601</v>
      </c>
      <c r="M12" s="56">
        <f>시평!L32</f>
        <v>1.6859999999999999</v>
      </c>
      <c r="N12" s="55">
        <f>시평!M32</f>
        <v>1.992</v>
      </c>
    </row>
    <row r="13" spans="1:14" ht="13.5" customHeight="1">
      <c r="A13" s="338"/>
      <c r="B13" s="58" t="s">
        <v>56</v>
      </c>
      <c r="C13" s="57">
        <f>시평!B33</f>
        <v>1.5449999999999999</v>
      </c>
      <c r="D13" s="60">
        <f>시평!C33</f>
        <v>1.5289999999999999</v>
      </c>
      <c r="E13" s="60">
        <f>시평!D33</f>
        <v>1.508</v>
      </c>
      <c r="F13" s="60">
        <f>시평!E33</f>
        <v>1.5209999999999999</v>
      </c>
      <c r="G13" s="60">
        <f>시평!F33</f>
        <v>1.571</v>
      </c>
      <c r="H13" s="60">
        <f>시평!G33</f>
        <v>1.5760000000000001</v>
      </c>
      <c r="I13" s="60">
        <f>시평!H33</f>
        <v>1.569</v>
      </c>
      <c r="J13" s="60">
        <f>시평!I33</f>
        <v>1.575</v>
      </c>
      <c r="K13" s="60">
        <f>시평!J33</f>
        <v>1.593</v>
      </c>
      <c r="L13" s="60">
        <f>시평!K33</f>
        <v>1.7470000000000001</v>
      </c>
      <c r="M13" s="60">
        <f>시평!L33</f>
        <v>1.893</v>
      </c>
      <c r="N13" s="58">
        <f>시평!M33</f>
        <v>2.2290000000000001</v>
      </c>
    </row>
    <row r="14" spans="1:14">
      <c r="A14" s="338"/>
      <c r="B14" s="58" t="s">
        <v>57</v>
      </c>
      <c r="C14" s="57">
        <f>시평!B34</f>
        <v>1.579</v>
      </c>
      <c r="D14" s="60">
        <f>시평!C34</f>
        <v>1.5640000000000001</v>
      </c>
      <c r="E14" s="60">
        <f>시평!D34</f>
        <v>1.542</v>
      </c>
      <c r="F14" s="60">
        <f>시평!E34</f>
        <v>1.5640000000000001</v>
      </c>
      <c r="G14" s="60">
        <f>시평!F34</f>
        <v>1.6339999999999999</v>
      </c>
      <c r="H14" s="60">
        <f>시평!G34</f>
        <v>1.6539999999999999</v>
      </c>
      <c r="I14" s="60">
        <f>시평!H34</f>
        <v>1.6479999999999999</v>
      </c>
      <c r="J14" s="60">
        <f>시평!I34</f>
        <v>1.66</v>
      </c>
      <c r="K14" s="60">
        <f>시평!J34</f>
        <v>1.6990000000000001</v>
      </c>
      <c r="L14" s="60">
        <f>시평!K34</f>
        <v>1.869</v>
      </c>
      <c r="M14" s="60">
        <f>시평!L34</f>
        <v>2.0649999999999999</v>
      </c>
      <c r="N14" s="58">
        <f>시평!M34</f>
        <v>2.468</v>
      </c>
    </row>
    <row r="15" spans="1:14">
      <c r="A15" s="339"/>
      <c r="B15" s="62" t="s">
        <v>58</v>
      </c>
      <c r="C15" s="61">
        <f>시평!B35</f>
        <v>1.643</v>
      </c>
      <c r="D15" s="64">
        <f>시평!C35</f>
        <v>1.637</v>
      </c>
      <c r="E15" s="64">
        <f>시평!D35</f>
        <v>1.62</v>
      </c>
      <c r="F15" s="64">
        <f>시평!E35</f>
        <v>1.661</v>
      </c>
      <c r="G15" s="64">
        <f>시평!F35</f>
        <v>1.7150000000000001</v>
      </c>
      <c r="H15" s="64">
        <f>시평!G35</f>
        <v>1.7689999999999999</v>
      </c>
      <c r="I15" s="64">
        <f>시평!H35</f>
        <v>1.7989999999999999</v>
      </c>
      <c r="J15" s="64">
        <f>시평!I35</f>
        <v>1.923</v>
      </c>
      <c r="K15" s="64">
        <f>시평!J35</f>
        <v>2.0640000000000001</v>
      </c>
      <c r="L15" s="64">
        <f>시평!K35</f>
        <v>2.2250000000000001</v>
      </c>
      <c r="M15" s="64">
        <f>시평!L35</f>
        <v>2.5569999999999999</v>
      </c>
      <c r="N15" s="62">
        <f>시평!M35</f>
        <v>2.9329999999999998</v>
      </c>
    </row>
    <row r="16" spans="1:14" ht="13.5" customHeight="1">
      <c r="A16" s="330" t="s">
        <v>55</v>
      </c>
      <c r="B16" s="67" t="s">
        <v>62</v>
      </c>
      <c r="C16" s="70">
        <f>시평!B52</f>
        <v>1.371</v>
      </c>
      <c r="D16" s="66">
        <f>시평!C52</f>
        <v>1.389</v>
      </c>
      <c r="E16" s="66">
        <f>시평!D52</f>
        <v>1.417</v>
      </c>
      <c r="F16" s="66">
        <f>시평!E52</f>
        <v>1.462</v>
      </c>
      <c r="G16" s="66">
        <f>시평!F52</f>
        <v>1.4990000000000001</v>
      </c>
      <c r="H16" s="66">
        <f>시평!G52</f>
        <v>1.5069999999999999</v>
      </c>
      <c r="I16" s="66">
        <f>시평!H52</f>
        <v>1.5169999999999999</v>
      </c>
      <c r="J16" s="66">
        <f>시평!I52</f>
        <v>1.522</v>
      </c>
      <c r="K16" s="66">
        <f>시평!J52</f>
        <v>1.5329999999999999</v>
      </c>
      <c r="L16" s="66">
        <f>시평!K52</f>
        <v>1.538</v>
      </c>
      <c r="M16" s="66">
        <f>시평!L52</f>
        <v>1.546</v>
      </c>
      <c r="N16" s="67">
        <f>시평!M52</f>
        <v>1.5920000000000001</v>
      </c>
    </row>
    <row r="17" spans="1:14">
      <c r="A17" s="331"/>
      <c r="B17" s="58" t="s">
        <v>60</v>
      </c>
      <c r="C17" s="76">
        <f>시평!B53</f>
        <v>1.4</v>
      </c>
      <c r="D17" s="77">
        <f>시평!C53</f>
        <v>1.4139999999999999</v>
      </c>
      <c r="E17" s="77">
        <f>시평!D53</f>
        <v>1.4419999999999999</v>
      </c>
      <c r="F17" s="77">
        <f>시평!E53</f>
        <v>1.4850000000000001</v>
      </c>
      <c r="G17" s="77">
        <f>시평!F53</f>
        <v>1.5209999999999999</v>
      </c>
      <c r="H17" s="77">
        <f>시평!G53</f>
        <v>1.53</v>
      </c>
      <c r="I17" s="77">
        <f>시평!H53</f>
        <v>1.5429999999999999</v>
      </c>
      <c r="J17" s="77">
        <f>시평!I53</f>
        <v>1.548</v>
      </c>
      <c r="K17" s="77">
        <f>시평!J53</f>
        <v>1.56</v>
      </c>
      <c r="L17" s="77">
        <f>시평!K53</f>
        <v>1.585</v>
      </c>
      <c r="M17" s="77">
        <f>시평!L53</f>
        <v>1.675</v>
      </c>
      <c r="N17" s="78">
        <f>시평!M53</f>
        <v>1.8680000000000001</v>
      </c>
    </row>
    <row r="18" spans="1:14">
      <c r="A18" s="331"/>
      <c r="B18" s="58" t="s">
        <v>56</v>
      </c>
      <c r="C18" s="76">
        <f>시평!B54</f>
        <v>1.4419999999999999</v>
      </c>
      <c r="D18" s="77">
        <f>시평!C54</f>
        <v>1.4550000000000001</v>
      </c>
      <c r="E18" s="77">
        <f>시평!D54</f>
        <v>1.48</v>
      </c>
      <c r="F18" s="77">
        <f>시평!E54</f>
        <v>1.5209999999999999</v>
      </c>
      <c r="G18" s="77">
        <f>시평!F54</f>
        <v>1.556</v>
      </c>
      <c r="H18" s="77">
        <f>시평!G54</f>
        <v>1.5669999999999999</v>
      </c>
      <c r="I18" s="77">
        <f>시평!H54</f>
        <v>1.579</v>
      </c>
      <c r="J18" s="77">
        <f>시평!I54</f>
        <v>1.5840000000000001</v>
      </c>
      <c r="K18" s="77">
        <f>시평!J54</f>
        <v>1.597</v>
      </c>
      <c r="L18" s="77">
        <f>시평!K54</f>
        <v>1.6459999999999999</v>
      </c>
      <c r="M18" s="77">
        <f>시평!L54</f>
        <v>1.8280000000000001</v>
      </c>
      <c r="N18" s="78">
        <f>시평!M54</f>
        <v>2.2530000000000001</v>
      </c>
    </row>
    <row r="19" spans="1:14">
      <c r="A19" s="331"/>
      <c r="B19" s="58" t="s">
        <v>57</v>
      </c>
      <c r="C19" s="76">
        <f>시평!B55</f>
        <v>1.47</v>
      </c>
      <c r="D19" s="77">
        <f>시평!C55</f>
        <v>1.484</v>
      </c>
      <c r="E19" s="77">
        <f>시평!D55</f>
        <v>1.51</v>
      </c>
      <c r="F19" s="77">
        <f>시평!E55</f>
        <v>1.552</v>
      </c>
      <c r="G19" s="77">
        <f>시평!F55</f>
        <v>1.587</v>
      </c>
      <c r="H19" s="77">
        <f>시평!G55</f>
        <v>1.595</v>
      </c>
      <c r="I19" s="77">
        <f>시평!H55</f>
        <v>1.6060000000000001</v>
      </c>
      <c r="J19" s="77">
        <f>시평!I55</f>
        <v>1.611</v>
      </c>
      <c r="K19" s="77">
        <f>시평!J55</f>
        <v>1.663</v>
      </c>
      <c r="L19" s="77">
        <f>시평!K55</f>
        <v>1.7509999999999999</v>
      </c>
      <c r="M19" s="77">
        <f>시평!L55</f>
        <v>2.0339999999999998</v>
      </c>
      <c r="N19" s="78">
        <f>시평!M55</f>
        <v>2.605</v>
      </c>
    </row>
    <row r="20" spans="1:14">
      <c r="A20" s="331"/>
      <c r="B20" s="58" t="s">
        <v>58</v>
      </c>
      <c r="C20" s="76">
        <f>시평!B56</f>
        <v>1.5269999999999999</v>
      </c>
      <c r="D20" s="77">
        <f>시평!C56</f>
        <v>1.5429999999999999</v>
      </c>
      <c r="E20" s="77">
        <f>시평!D56</f>
        <v>1.5669999999999999</v>
      </c>
      <c r="F20" s="77">
        <f>시평!E56</f>
        <v>1.605</v>
      </c>
      <c r="G20" s="77">
        <f>시평!F56</f>
        <v>1.643</v>
      </c>
      <c r="H20" s="77">
        <f>시평!G56</f>
        <v>1.6539999999999999</v>
      </c>
      <c r="I20" s="77">
        <f>시평!H56</f>
        <v>1.673</v>
      </c>
      <c r="J20" s="77">
        <f>시평!I56</f>
        <v>1.784</v>
      </c>
      <c r="K20" s="77">
        <f>시평!J56</f>
        <v>1.91</v>
      </c>
      <c r="L20" s="77">
        <f>시평!K56</f>
        <v>2.1469999999999998</v>
      </c>
      <c r="M20" s="77">
        <f>시평!L56</f>
        <v>2.4409999999999998</v>
      </c>
      <c r="N20" s="78">
        <f>시평!M56</f>
        <v>3.01</v>
      </c>
    </row>
    <row r="21" spans="1:14">
      <c r="A21" s="331"/>
      <c r="B21" s="58" t="s">
        <v>63</v>
      </c>
      <c r="C21" s="76">
        <f>시평!B57</f>
        <v>1.6719999999999999</v>
      </c>
      <c r="D21" s="77">
        <f>시평!C57</f>
        <v>1.6950000000000001</v>
      </c>
      <c r="E21" s="77">
        <f>시평!D57</f>
        <v>1.726</v>
      </c>
      <c r="F21" s="77">
        <f>시평!E57</f>
        <v>1.7669999999999999</v>
      </c>
      <c r="G21" s="77">
        <f>시평!F57</f>
        <v>1.81</v>
      </c>
      <c r="H21" s="77">
        <f>시평!G57</f>
        <v>1.8280000000000001</v>
      </c>
      <c r="I21" s="77">
        <f>시평!H57</f>
        <v>1.885</v>
      </c>
      <c r="J21" s="77">
        <f>시평!I57</f>
        <v>2.052</v>
      </c>
      <c r="K21" s="77">
        <f>시평!J57</f>
        <v>2.2570000000000001</v>
      </c>
      <c r="L21" s="77">
        <f>시평!K57</f>
        <v>2.5590000000000002</v>
      </c>
      <c r="M21" s="77">
        <f>시평!L57</f>
        <v>2.8740000000000001</v>
      </c>
      <c r="N21" s="78">
        <f>시평!M57</f>
        <v>3.464</v>
      </c>
    </row>
    <row r="22" spans="1:14">
      <c r="A22" s="332"/>
      <c r="B22" s="62" t="s">
        <v>64</v>
      </c>
      <c r="C22" s="79">
        <f>시평!B58</f>
        <v>1.8959999999999999</v>
      </c>
      <c r="D22" s="80">
        <f>시평!C58</f>
        <v>1.9339999999999999</v>
      </c>
      <c r="E22" s="80">
        <f>시평!D58</f>
        <v>1.9730000000000001</v>
      </c>
      <c r="F22" s="80">
        <f>시평!E58</f>
        <v>2.028</v>
      </c>
      <c r="G22" s="80">
        <f>시평!F58</f>
        <v>2.0870000000000002</v>
      </c>
      <c r="H22" s="80">
        <f>시평!G58</f>
        <v>2.157</v>
      </c>
      <c r="I22" s="80">
        <f>시평!H58</f>
        <v>2.2829999999999999</v>
      </c>
      <c r="J22" s="80">
        <f>시평!I58</f>
        <v>2.4929999999999999</v>
      </c>
      <c r="K22" s="80">
        <f>시평!J58</f>
        <v>2.7559999999999998</v>
      </c>
      <c r="L22" s="80">
        <f>시평!K58</f>
        <v>3.1440000000000001</v>
      </c>
      <c r="M22" s="80">
        <f>시평!L58</f>
        <v>3.4089999999999998</v>
      </c>
      <c r="N22" s="71">
        <f>시평!M58</f>
        <v>3.9790000000000001</v>
      </c>
    </row>
    <row r="23" spans="1:14">
      <c r="A23" s="324" t="s">
        <v>132</v>
      </c>
      <c r="B23" s="325"/>
      <c r="C23" s="91" t="s">
        <v>138</v>
      </c>
      <c r="D23" s="92" t="s">
        <v>139</v>
      </c>
      <c r="E23" s="92" t="s">
        <v>140</v>
      </c>
      <c r="F23" s="92" t="s">
        <v>141</v>
      </c>
      <c r="G23" s="92" t="s">
        <v>142</v>
      </c>
      <c r="H23" s="92" t="s">
        <v>143</v>
      </c>
      <c r="I23" s="92" t="s">
        <v>19</v>
      </c>
      <c r="J23" s="92" t="s">
        <v>144</v>
      </c>
      <c r="K23" s="92" t="s">
        <v>20</v>
      </c>
      <c r="L23" s="92" t="s">
        <v>22</v>
      </c>
      <c r="M23" s="92" t="s">
        <v>24</v>
      </c>
      <c r="N23" s="123"/>
    </row>
    <row r="24" spans="1:14">
      <c r="A24" s="227" t="s">
        <v>131</v>
      </c>
      <c r="B24" s="228" t="s">
        <v>62</v>
      </c>
      <c r="C24" s="301">
        <v>1.47</v>
      </c>
      <c r="D24" s="301">
        <v>1.47</v>
      </c>
      <c r="E24" s="301" t="s">
        <v>12</v>
      </c>
      <c r="F24" s="301">
        <v>1.48</v>
      </c>
      <c r="G24" s="301">
        <v>1.48</v>
      </c>
      <c r="H24" s="301">
        <v>1.48</v>
      </c>
      <c r="I24" s="301">
        <v>1.49</v>
      </c>
      <c r="J24" s="301">
        <v>1.49</v>
      </c>
      <c r="K24" s="301">
        <v>1.49</v>
      </c>
      <c r="L24" s="301">
        <v>1.53</v>
      </c>
      <c r="M24" s="301">
        <v>1.53</v>
      </c>
      <c r="N24" s="131"/>
    </row>
    <row r="25" spans="1:14">
      <c r="C25" s="122"/>
    </row>
    <row r="68" spans="26:26">
      <c r="Z68" s="50">
        <f ca="1">TODAY()</f>
        <v>43712</v>
      </c>
    </row>
  </sheetData>
  <mergeCells count="14">
    <mergeCell ref="A5:B5"/>
    <mergeCell ref="A2:B2"/>
    <mergeCell ref="A3:B3"/>
    <mergeCell ref="A1:B1"/>
    <mergeCell ref="A6:B6"/>
    <mergeCell ref="A4:B4"/>
    <mergeCell ref="A23:B23"/>
    <mergeCell ref="A7:B7"/>
    <mergeCell ref="A8:B8"/>
    <mergeCell ref="A16:A22"/>
    <mergeCell ref="A9:B9"/>
    <mergeCell ref="A11:B11"/>
    <mergeCell ref="A10:B10"/>
    <mergeCell ref="A12:A15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민평표</vt:lpstr>
      <vt:lpstr>시평</vt:lpstr>
      <vt:lpstr>시가평가표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KIDB_67</cp:lastModifiedBy>
  <cp:lastPrinted>2019-09-03T23:27:32Z</cp:lastPrinted>
  <dcterms:created xsi:type="dcterms:W3CDTF">2006-03-12T23:57:35Z</dcterms:created>
  <dcterms:modified xsi:type="dcterms:W3CDTF">2019-09-03T23:28:26Z</dcterms:modified>
</cp:coreProperties>
</file>